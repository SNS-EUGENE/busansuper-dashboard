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13_ncr:1_{30363FA1-FF2F-438D-ABDC-FE3011D0779A}" xr6:coauthVersionLast="47" xr6:coauthVersionMax="47" xr10:uidLastSave="{00000000-0000-0000-0000-000000000000}"/>
  <bookViews>
    <workbookView xWindow="5070" yWindow="3075" windowWidth="26145" windowHeight="15345" xr2:uid="{00000000-000D-0000-FFFF-FFFF00000000}"/>
  </bookViews>
  <sheets>
    <sheet name="상품별재고수량" sheetId="1" r:id="rId1"/>
  </sheets>
  <definedNames>
    <definedName name="_xlnm._FilterDatabase" localSheetId="0" hidden="1">상품별재고수량!$A$2:$AI$272</definedName>
  </definedNames>
  <calcPr calcId="181029"/>
</workbook>
</file>

<file path=xl/calcChain.xml><?xml version="1.0" encoding="utf-8"?>
<calcChain xmlns="http://schemas.openxmlformats.org/spreadsheetml/2006/main">
  <c r="AI222" i="1" l="1"/>
  <c r="M222" i="1"/>
  <c r="AI53" i="1"/>
  <c r="M53" i="1"/>
  <c r="AI54" i="1"/>
  <c r="M54" i="1"/>
  <c r="AI45" i="1"/>
  <c r="M45" i="1"/>
  <c r="AI44" i="1"/>
  <c r="M44" i="1"/>
  <c r="AI46" i="1"/>
  <c r="M46" i="1"/>
  <c r="AI47" i="1"/>
  <c r="M47" i="1"/>
  <c r="AI49" i="1"/>
  <c r="M49" i="1"/>
  <c r="AI43" i="1"/>
  <c r="M43" i="1"/>
  <c r="AI50" i="1"/>
  <c r="M50" i="1"/>
  <c r="AI52" i="1"/>
  <c r="M52" i="1"/>
  <c r="AI48" i="1"/>
  <c r="M48" i="1"/>
  <c r="AI51" i="1"/>
  <c r="M51" i="1"/>
  <c r="AI68" i="1"/>
  <c r="M68" i="1"/>
  <c r="AI69" i="1"/>
  <c r="M69" i="1"/>
  <c r="AI56" i="1"/>
  <c r="M56" i="1"/>
  <c r="AI256" i="1"/>
  <c r="M256" i="1"/>
  <c r="AI257" i="1"/>
  <c r="M257" i="1"/>
  <c r="AI259" i="1"/>
  <c r="M259" i="1"/>
  <c r="AI148" i="1"/>
  <c r="M148" i="1"/>
  <c r="AI146" i="1"/>
  <c r="M146" i="1"/>
  <c r="AI258" i="1"/>
  <c r="M258" i="1"/>
  <c r="AI147" i="1"/>
  <c r="M147" i="1"/>
  <c r="AI34" i="1"/>
  <c r="M34" i="1"/>
  <c r="AI252" i="1"/>
  <c r="M252" i="1"/>
  <c r="AI249" i="1"/>
  <c r="M249" i="1"/>
  <c r="AI251" i="1"/>
  <c r="M251" i="1"/>
  <c r="AI250" i="1"/>
  <c r="M250" i="1"/>
  <c r="AI203" i="1"/>
  <c r="M203" i="1"/>
  <c r="AI201" i="1"/>
  <c r="M201" i="1"/>
  <c r="AI202" i="1"/>
  <c r="M202" i="1"/>
  <c r="AI200" i="1"/>
  <c r="M200" i="1"/>
  <c r="AI204" i="1"/>
  <c r="M204" i="1"/>
  <c r="AI197" i="1"/>
  <c r="M197" i="1"/>
  <c r="AI198" i="1"/>
  <c r="M198" i="1"/>
  <c r="AI224" i="1"/>
  <c r="M224" i="1"/>
  <c r="AI225" i="1"/>
  <c r="M225" i="1"/>
  <c r="AI89" i="1"/>
  <c r="M89" i="1"/>
  <c r="AI253" i="1"/>
  <c r="M253" i="1"/>
  <c r="AI133" i="1"/>
  <c r="M133" i="1"/>
  <c r="AI134" i="1"/>
  <c r="M134" i="1"/>
  <c r="AI127" i="1"/>
  <c r="M127" i="1"/>
  <c r="AI137" i="1"/>
  <c r="M137" i="1"/>
  <c r="AI138" i="1"/>
  <c r="M138" i="1"/>
  <c r="AI121" i="1"/>
  <c r="M121" i="1"/>
  <c r="AI119" i="1"/>
  <c r="M119" i="1"/>
  <c r="AI141" i="1"/>
  <c r="M141" i="1"/>
  <c r="AI120" i="1"/>
  <c r="M120" i="1"/>
  <c r="AI123" i="1"/>
  <c r="M123" i="1"/>
  <c r="AI118" i="1"/>
  <c r="M118" i="1"/>
  <c r="AI117" i="1"/>
  <c r="M117" i="1"/>
  <c r="AI125" i="1"/>
  <c r="M125" i="1"/>
  <c r="AI124" i="1"/>
  <c r="M124" i="1"/>
  <c r="AI122" i="1"/>
  <c r="M122" i="1"/>
  <c r="AI140" i="1"/>
  <c r="M140" i="1"/>
  <c r="AI143" i="1"/>
  <c r="M143" i="1"/>
  <c r="AI144" i="1"/>
  <c r="M144" i="1"/>
  <c r="AI126" i="1"/>
  <c r="M126" i="1"/>
  <c r="AI142" i="1"/>
  <c r="M142" i="1"/>
  <c r="AI145" i="1"/>
  <c r="M145" i="1"/>
  <c r="AI139" i="1"/>
  <c r="M139" i="1"/>
  <c r="AI135" i="1"/>
  <c r="M135" i="1"/>
  <c r="AI136" i="1"/>
  <c r="M136" i="1"/>
  <c r="AI128" i="1"/>
  <c r="M128" i="1"/>
  <c r="AI129" i="1"/>
  <c r="M129" i="1"/>
  <c r="AI132" i="1"/>
  <c r="M132" i="1"/>
  <c r="AI131" i="1"/>
  <c r="M131" i="1"/>
  <c r="AI130" i="1"/>
  <c r="M130" i="1"/>
  <c r="AI90" i="1"/>
  <c r="M90" i="1"/>
  <c r="AI223" i="1"/>
  <c r="M223" i="1"/>
  <c r="AI87" i="1"/>
  <c r="M87" i="1"/>
  <c r="AI70" i="1"/>
  <c r="M70" i="1"/>
  <c r="AI104" i="1"/>
  <c r="M104" i="1"/>
  <c r="AI106" i="1"/>
  <c r="M106" i="1"/>
  <c r="AI107" i="1"/>
  <c r="M107" i="1"/>
  <c r="AI105" i="1"/>
  <c r="M105" i="1"/>
  <c r="AI102" i="1"/>
  <c r="M102" i="1"/>
  <c r="AI103" i="1"/>
  <c r="M103" i="1"/>
  <c r="AI101" i="1"/>
  <c r="M101" i="1"/>
  <c r="AI100" i="1"/>
  <c r="M100" i="1"/>
  <c r="AI99" i="1"/>
  <c r="M99" i="1"/>
  <c r="AI260" i="1"/>
  <c r="M260" i="1"/>
  <c r="AI262" i="1"/>
  <c r="M262" i="1"/>
  <c r="AI261" i="1"/>
  <c r="M261" i="1"/>
  <c r="AI88" i="1"/>
  <c r="M88" i="1"/>
  <c r="AI66" i="1"/>
  <c r="M66" i="1"/>
  <c r="AI65" i="1"/>
  <c r="M65" i="1"/>
  <c r="AI67" i="1"/>
  <c r="M67" i="1"/>
  <c r="AI76" i="1"/>
  <c r="M76" i="1"/>
  <c r="AI75" i="1"/>
  <c r="M75" i="1"/>
  <c r="AI74" i="1"/>
  <c r="M74" i="1"/>
  <c r="AI73" i="1"/>
  <c r="M73" i="1"/>
  <c r="AI38" i="1"/>
  <c r="M38" i="1"/>
  <c r="AI37" i="1"/>
  <c r="M37" i="1"/>
  <c r="AI36" i="1"/>
  <c r="M36" i="1"/>
  <c r="AI35" i="1"/>
  <c r="M35" i="1"/>
  <c r="AI115" i="1"/>
  <c r="M115" i="1"/>
  <c r="AI111" i="1"/>
  <c r="AI112" i="1"/>
  <c r="AI113" i="1"/>
  <c r="M113" i="1"/>
  <c r="AI116" i="1"/>
  <c r="M116" i="1"/>
  <c r="AI114" i="1"/>
  <c r="M114" i="1"/>
  <c r="AI181" i="1"/>
  <c r="M181" i="1"/>
  <c r="AI182" i="1"/>
  <c r="M182" i="1"/>
  <c r="AI180" i="1"/>
  <c r="M180" i="1"/>
  <c r="AI245" i="1"/>
  <c r="M245" i="1"/>
  <c r="AI60" i="1"/>
  <c r="M60" i="1"/>
  <c r="AI244" i="1"/>
  <c r="M244" i="1"/>
  <c r="AI96" i="1"/>
  <c r="M96" i="1"/>
  <c r="AI93" i="1"/>
  <c r="AI92" i="1"/>
  <c r="AI94" i="1"/>
  <c r="AI97" i="1"/>
  <c r="AI95" i="1"/>
  <c r="M95" i="1"/>
  <c r="AI58" i="1"/>
  <c r="M58" i="1"/>
  <c r="AI214" i="1"/>
  <c r="M214" i="1"/>
  <c r="AI213" i="1"/>
  <c r="M213" i="1"/>
  <c r="AI215" i="1"/>
  <c r="M215" i="1"/>
  <c r="AI33" i="1"/>
  <c r="M33" i="1"/>
  <c r="AI5" i="1"/>
  <c r="M5" i="1"/>
  <c r="AI4" i="1"/>
  <c r="M4" i="1"/>
  <c r="AI41" i="1"/>
  <c r="M41" i="1"/>
  <c r="AI57" i="1"/>
  <c r="M57" i="1"/>
  <c r="AI42" i="1"/>
  <c r="M42" i="1"/>
  <c r="AI39" i="1"/>
  <c r="M39" i="1"/>
  <c r="AI55" i="1"/>
  <c r="M55" i="1"/>
  <c r="AI40" i="1"/>
  <c r="M40" i="1"/>
  <c r="AI59" i="1"/>
  <c r="M59" i="1"/>
  <c r="AI265" i="1"/>
  <c r="M265" i="1"/>
  <c r="AI264" i="1"/>
  <c r="M264" i="1"/>
  <c r="AI248" i="1"/>
  <c r="M248" i="1"/>
  <c r="AI247" i="1"/>
  <c r="M247" i="1"/>
  <c r="AI246" i="1"/>
  <c r="M246" i="1"/>
  <c r="AI195" i="1"/>
  <c r="M195" i="1"/>
  <c r="AI183" i="1"/>
  <c r="M183" i="1"/>
  <c r="AI184" i="1"/>
  <c r="M184" i="1"/>
  <c r="AI217" i="1"/>
  <c r="M217" i="1"/>
  <c r="AI216" i="1"/>
  <c r="M216" i="1"/>
  <c r="AI109" i="1"/>
  <c r="M109" i="1"/>
  <c r="AI108" i="1"/>
  <c r="M108" i="1"/>
  <c r="AI110" i="1"/>
  <c r="M110" i="1"/>
  <c r="AI235" i="1"/>
  <c r="M235" i="1"/>
  <c r="AI232" i="1"/>
  <c r="M232" i="1"/>
  <c r="AI233" i="1"/>
  <c r="M233" i="1"/>
  <c r="AI230" i="1"/>
  <c r="M230" i="1"/>
  <c r="AI234" i="1"/>
  <c r="M234" i="1"/>
  <c r="AI212" i="1"/>
  <c r="M212" i="1"/>
  <c r="AI211" i="1"/>
  <c r="M211" i="1"/>
  <c r="AI210" i="1"/>
  <c r="M210" i="1"/>
  <c r="AI209" i="1"/>
  <c r="M209" i="1"/>
  <c r="AI208" i="1"/>
  <c r="M208" i="1"/>
  <c r="AI207" i="1"/>
  <c r="M207" i="1"/>
  <c r="AI231" i="1"/>
  <c r="M231" i="1"/>
  <c r="AI12" i="1"/>
  <c r="AI11" i="1"/>
  <c r="AI221" i="1"/>
  <c r="M221" i="1"/>
  <c r="AI220" i="1"/>
  <c r="M220" i="1"/>
  <c r="AI3" i="1"/>
  <c r="M3" i="1"/>
  <c r="AI72" i="1"/>
  <c r="M72" i="1"/>
  <c r="AI218" i="1"/>
  <c r="M218" i="1"/>
  <c r="AI219" i="1"/>
  <c r="M219" i="1"/>
  <c r="AI272" i="1"/>
  <c r="M272" i="1"/>
  <c r="AI271" i="1"/>
  <c r="M271" i="1"/>
  <c r="AI71" i="1"/>
  <c r="M71" i="1"/>
  <c r="AI267" i="1"/>
  <c r="M267" i="1"/>
  <c r="AI269" i="1"/>
  <c r="M269" i="1"/>
  <c r="AI268" i="1"/>
  <c r="M268" i="1"/>
  <c r="AI64" i="1"/>
  <c r="M64" i="1"/>
  <c r="AI270" i="1"/>
  <c r="M270" i="1"/>
  <c r="AI81" i="1"/>
  <c r="M81" i="1"/>
  <c r="AI80" i="1"/>
  <c r="M80" i="1"/>
  <c r="AI189" i="1"/>
  <c r="M189" i="1"/>
  <c r="AI191" i="1"/>
  <c r="M191" i="1"/>
  <c r="AI190" i="1"/>
  <c r="M190" i="1"/>
  <c r="AI79" i="1"/>
  <c r="M79" i="1"/>
  <c r="AI192" i="1"/>
  <c r="M192" i="1"/>
  <c r="AI86" i="1"/>
  <c r="M86" i="1"/>
  <c r="AI194" i="1"/>
  <c r="M194" i="1"/>
  <c r="AI193" i="1"/>
  <c r="M193" i="1"/>
  <c r="AI78" i="1"/>
  <c r="M78" i="1"/>
  <c r="AI77" i="1"/>
  <c r="M77" i="1"/>
  <c r="AI243" i="1"/>
  <c r="M243" i="1"/>
  <c r="AI242" i="1"/>
  <c r="M242" i="1"/>
  <c r="AI85" i="1"/>
  <c r="M85" i="1"/>
  <c r="AI84" i="1"/>
  <c r="M84" i="1"/>
  <c r="AI83" i="1"/>
  <c r="M83" i="1"/>
  <c r="AI82" i="1"/>
  <c r="M82" i="1"/>
  <c r="AI63" i="1"/>
  <c r="M63" i="1"/>
  <c r="AI61" i="1"/>
  <c r="M61" i="1"/>
  <c r="AI91" i="1"/>
  <c r="M91" i="1"/>
  <c r="AI266" i="1"/>
  <c r="M266" i="1"/>
  <c r="AI62" i="1"/>
  <c r="M62" i="1"/>
  <c r="AI263" i="1"/>
  <c r="M263" i="1"/>
  <c r="AI32" i="1"/>
  <c r="AI31" i="1"/>
  <c r="AI30" i="1"/>
  <c r="AI29" i="1"/>
  <c r="M29" i="1"/>
  <c r="AI28" i="1"/>
  <c r="M28" i="1"/>
  <c r="AI27" i="1"/>
  <c r="M27" i="1"/>
  <c r="AI26" i="1"/>
  <c r="M26" i="1"/>
  <c r="AI255" i="1"/>
  <c r="M255" i="1"/>
  <c r="AI179" i="1"/>
  <c r="AI186" i="1"/>
  <c r="AI199" i="1"/>
  <c r="AI185" i="1"/>
  <c r="M185" i="1"/>
  <c r="AI188" i="1"/>
  <c r="M188" i="1"/>
  <c r="AI196" i="1"/>
  <c r="AI177" i="1"/>
  <c r="AI187" i="1"/>
  <c r="AI98" i="1"/>
  <c r="M98" i="1"/>
  <c r="AI178" i="1"/>
  <c r="M178" i="1"/>
  <c r="AI206" i="1"/>
  <c r="M206" i="1"/>
  <c r="AI254" i="1"/>
  <c r="M254" i="1"/>
  <c r="AI205" i="1"/>
  <c r="M205" i="1"/>
  <c r="AI25" i="1"/>
  <c r="M25" i="1"/>
  <c r="AI24" i="1"/>
  <c r="M24" i="1"/>
  <c r="AI23" i="1"/>
  <c r="M23" i="1"/>
  <c r="AI22" i="1"/>
  <c r="M22" i="1"/>
  <c r="AI21" i="1"/>
  <c r="M21" i="1"/>
  <c r="AI20" i="1"/>
  <c r="M20" i="1"/>
  <c r="AI19" i="1"/>
  <c r="M19" i="1"/>
  <c r="AI18" i="1"/>
  <c r="M18" i="1"/>
  <c r="AI17" i="1"/>
  <c r="M17" i="1"/>
  <c r="AI16" i="1"/>
  <c r="M16" i="1"/>
  <c r="AI15" i="1"/>
  <c r="M15" i="1"/>
  <c r="AI14" i="1"/>
  <c r="M14" i="1"/>
  <c r="AI13" i="1"/>
  <c r="M13" i="1"/>
  <c r="AI229" i="1"/>
  <c r="M229" i="1"/>
  <c r="AI227" i="1"/>
  <c r="M227" i="1"/>
  <c r="AI228" i="1"/>
  <c r="M228" i="1"/>
  <c r="AI226" i="1"/>
  <c r="M226" i="1"/>
  <c r="AI240" i="1"/>
  <c r="M240" i="1"/>
  <c r="AI238" i="1"/>
  <c r="M238" i="1"/>
  <c r="AI239" i="1"/>
  <c r="M239" i="1"/>
  <c r="AI237" i="1"/>
  <c r="M237" i="1"/>
  <c r="AI241" i="1"/>
  <c r="M241" i="1"/>
  <c r="AI236" i="1"/>
  <c r="M236" i="1"/>
  <c r="AI150" i="1"/>
  <c r="M150" i="1"/>
  <c r="AI149" i="1"/>
  <c r="M149" i="1"/>
  <c r="AI151" i="1"/>
  <c r="M151" i="1"/>
  <c r="AI153" i="1"/>
  <c r="M153" i="1"/>
  <c r="AI152" i="1"/>
  <c r="M152" i="1"/>
  <c r="AI173" i="1"/>
  <c r="M173" i="1"/>
  <c r="AI172" i="1"/>
  <c r="M172" i="1"/>
  <c r="AI174" i="1"/>
  <c r="M174" i="1"/>
  <c r="AI176" i="1"/>
  <c r="M176" i="1"/>
  <c r="AI175" i="1"/>
  <c r="M175" i="1"/>
  <c r="AI171" i="1"/>
  <c r="M171" i="1"/>
  <c r="AI170" i="1"/>
  <c r="M170" i="1"/>
  <c r="AI169" i="1"/>
  <c r="M169" i="1"/>
  <c r="AI168" i="1"/>
  <c r="M168" i="1"/>
  <c r="AI167" i="1"/>
  <c r="M167" i="1"/>
  <c r="AI166" i="1"/>
  <c r="M166" i="1"/>
  <c r="AI165" i="1"/>
  <c r="M165" i="1"/>
  <c r="AI164" i="1"/>
  <c r="M164" i="1"/>
  <c r="AI163" i="1"/>
  <c r="M163" i="1"/>
  <c r="AI162" i="1"/>
  <c r="M162" i="1"/>
  <c r="AI161" i="1"/>
  <c r="M161" i="1"/>
  <c r="AI160" i="1"/>
  <c r="M160" i="1"/>
  <c r="AI159" i="1"/>
  <c r="M159" i="1"/>
  <c r="AI158" i="1"/>
  <c r="M158" i="1"/>
  <c r="AI157" i="1"/>
  <c r="M157" i="1"/>
  <c r="AI156" i="1"/>
  <c r="M156" i="1"/>
  <c r="AI155" i="1"/>
  <c r="M155" i="1"/>
  <c r="AI154" i="1"/>
  <c r="M154" i="1"/>
</calcChain>
</file>

<file path=xl/sharedStrings.xml><?xml version="1.0" encoding="utf-8"?>
<sst xmlns="http://schemas.openxmlformats.org/spreadsheetml/2006/main" count="2174" uniqueCount="670">
  <si>
    <t>■ 부산슈퍼 인사동점 상품 발주</t>
  </si>
  <si>
    <t>순번</t>
  </si>
  <si>
    <t>기업명</t>
  </si>
  <si>
    <t>신청 경로</t>
  </si>
  <si>
    <t>카테고리</t>
  </si>
  <si>
    <t>품목</t>
  </si>
  <si>
    <t>제품명</t>
  </si>
  <si>
    <t>단가(원)</t>
  </si>
  <si>
    <t>바코드 텍스트 변환</t>
  </si>
  <si>
    <t>투어가이드 수수료 동의 여부</t>
  </si>
  <si>
    <t>협찬업체여부</t>
  </si>
  <si>
    <t>최초 판매재고수량</t>
  </si>
  <si>
    <t>거래명세상 수량</t>
  </si>
  <si>
    <t>거래명세서검증</t>
  </si>
  <si>
    <t>추가 입고
상품(~9/16)</t>
  </si>
  <si>
    <t>추가 입고
상품(9/17)</t>
  </si>
  <si>
    <t>추가 입고
상품(9/18)</t>
  </si>
  <si>
    <t>추가 입고
상품(9/19)</t>
  </si>
  <si>
    <t>추가 입고
상품(9/20)</t>
  </si>
  <si>
    <t>추가 입고
상품(9/25)</t>
  </si>
  <si>
    <t>추가 입고상품(9/26)</t>
  </si>
  <si>
    <t>추가 입고상품(9/27)</t>
  </si>
  <si>
    <t>추가 입고상품(9/29)</t>
  </si>
  <si>
    <t>추가 입고상품(10/1)</t>
  </si>
  <si>
    <t>추가 입고상품(10/10)</t>
  </si>
  <si>
    <t>추가 입고상품(10/11)</t>
  </si>
  <si>
    <t>추가 입고상품(10/14)</t>
  </si>
  <si>
    <t>추가 입고상품(10/17)</t>
  </si>
  <si>
    <t>추가 입고상품(10/18)</t>
  </si>
  <si>
    <t>추가 입고상품(10/22)</t>
  </si>
  <si>
    <t>추가 입고상품(10/25)</t>
  </si>
  <si>
    <t>추가 입고상품(10/27)</t>
  </si>
  <si>
    <t>추가 입고상품(10/28)</t>
  </si>
  <si>
    <t>추가 입고상품(10/29)</t>
  </si>
  <si>
    <t xml:space="preserve">판매수량
(10/31일 18시 기준)
</t>
  </si>
  <si>
    <t>재고수량</t>
  </si>
  <si>
    <t>송월타올</t>
  </si>
  <si>
    <t>센터 섭외</t>
  </si>
  <si>
    <t>의류</t>
  </si>
  <si>
    <t>타올쿤 폴로셔츠 네이비 S</t>
  </si>
  <si>
    <t>8801346007010</t>
  </si>
  <si>
    <t>O</t>
  </si>
  <si>
    <t>○</t>
  </si>
  <si>
    <t>타올쿤 폴로셔츠 네이비 M</t>
  </si>
  <si>
    <t>8801346007027</t>
  </si>
  <si>
    <t>타올쿤 폴로셔츠 네이비 L</t>
  </si>
  <si>
    <t>8801346007034</t>
  </si>
  <si>
    <t>타올쿤 폴로셔츠 네이비 XL</t>
  </si>
  <si>
    <t>8801346007041</t>
  </si>
  <si>
    <t>타올쿤 폴로셔츠 핑크 S</t>
  </si>
  <si>
    <t>8801346007058</t>
  </si>
  <si>
    <t>타올쿤 폴로셔츠 핑크 M</t>
  </si>
  <si>
    <t>8801346007065</t>
  </si>
  <si>
    <t>타올쿤 폴로셔츠 핑크 L</t>
  </si>
  <si>
    <t>8801346007072</t>
  </si>
  <si>
    <t>타올쿤 폴로셔츠 핑크 XL</t>
  </si>
  <si>
    <t>8801346007089</t>
  </si>
  <si>
    <t>타올쿤 쇼츠 스트링 네이비 S</t>
  </si>
  <si>
    <t>8801346007171</t>
  </si>
  <si>
    <t>타올쿤 쇼츠 스트링 네이비 M</t>
  </si>
  <si>
    <t>8801346007188</t>
  </si>
  <si>
    <t>타올쿤 쇼츠 스트링 네이비 L</t>
  </si>
  <si>
    <t>8801346007195</t>
  </si>
  <si>
    <t>타올쿤 쇼츠 스트링 네이비 XL</t>
  </si>
  <si>
    <t>8801346007201</t>
  </si>
  <si>
    <t>타올쿤 쇼츠 스트링 핑크 S</t>
  </si>
  <si>
    <t>8801346007218</t>
  </si>
  <si>
    <t>타올쿤 쇼츠 스트링 핑크 M</t>
  </si>
  <si>
    <t>8801346007225</t>
  </si>
  <si>
    <t>타올쿤 쇼츠 스트링 핑크 L</t>
  </si>
  <si>
    <t>8801346007232</t>
  </si>
  <si>
    <t>타올쿤 쇼츠 스트링 핑크 XL</t>
  </si>
  <si>
    <t>8801346007249</t>
  </si>
  <si>
    <t>타올쿤 쇼츠 밴딩 포우면 크림 F</t>
  </si>
  <si>
    <t>8801346007256</t>
  </si>
  <si>
    <t>타올쿤 쇼츠 밴딩 포우면 그린 F</t>
  </si>
  <si>
    <t>8801346007294</t>
  </si>
  <si>
    <t>생활용품</t>
  </si>
  <si>
    <t>타올</t>
  </si>
  <si>
    <t>타올쿤 페이스타월 카툰 복싱 레드</t>
  </si>
  <si>
    <t>8801346007638</t>
  </si>
  <si>
    <t>타올쿤 페이스타월 메이커 그린</t>
  </si>
  <si>
    <t>8801346007669</t>
  </si>
  <si>
    <t>타올쿤 페이스타월 그라운드 레드</t>
  </si>
  <si>
    <t>8801346007454</t>
  </si>
  <si>
    <t>비치타올</t>
  </si>
  <si>
    <t>타올쿤 비치타월 그라운드 그린</t>
  </si>
  <si>
    <t>8801346007416</t>
  </si>
  <si>
    <t>타올쿤 비치타월 유니온 퍼플</t>
  </si>
  <si>
    <t>8801346007430</t>
  </si>
  <si>
    <t>양말</t>
  </si>
  <si>
    <t>SNB 로우 삭스 화이트 SM</t>
  </si>
  <si>
    <t>8801346003043</t>
  </si>
  <si>
    <t>SNB 로우 삭스 화이트 ML</t>
  </si>
  <si>
    <t>8801346003050</t>
  </si>
  <si>
    <t>주방용품</t>
  </si>
  <si>
    <t>코스터</t>
  </si>
  <si>
    <t>SNB 테리 코스터 4종 개별포장</t>
  </si>
  <si>
    <t>8801346002565</t>
  </si>
  <si>
    <t>기타잡화</t>
  </si>
  <si>
    <t>키링</t>
  </si>
  <si>
    <t>SNB 아크릴 키링 타올쿤런</t>
  </si>
  <si>
    <t>8801346002350</t>
  </si>
  <si>
    <t>SNB 아크릴 키링 써클쿤</t>
  </si>
  <si>
    <t>8801346002374</t>
  </si>
  <si>
    <t>부산맥주</t>
  </si>
  <si>
    <t>식품류</t>
  </si>
  <si>
    <t>맥주</t>
  </si>
  <si>
    <t>부산 IPA</t>
  </si>
  <si>
    <t>8809936830000</t>
  </si>
  <si>
    <t>광안리골든에일</t>
  </si>
  <si>
    <t>8809936830062</t>
  </si>
  <si>
    <t>해운대다크에일</t>
  </si>
  <si>
    <t>8809936830017</t>
  </si>
  <si>
    <t>금정산블랙라거</t>
  </si>
  <si>
    <t>8809936830031</t>
  </si>
  <si>
    <t>자갈치휘트비어</t>
  </si>
  <si>
    <t>8809936830024</t>
  </si>
  <si>
    <t>오륙도페일라거</t>
  </si>
  <si>
    <t>8809936830055</t>
  </si>
  <si>
    <t>모모스커피</t>
  </si>
  <si>
    <t>커피</t>
  </si>
  <si>
    <t>모모스커피 부산 드립백</t>
  </si>
  <si>
    <t>8809891170104</t>
  </si>
  <si>
    <t>머그</t>
  </si>
  <si>
    <t>모모스커피 동백 머그컵</t>
  </si>
  <si>
    <t>8809891171446</t>
  </si>
  <si>
    <t>드립백 선물세트 24개입</t>
  </si>
  <si>
    <t>8809891170630</t>
  </si>
  <si>
    <t>X</t>
  </si>
  <si>
    <t>콜드브루 RTD 2종 세트 10개입</t>
  </si>
  <si>
    <t>8809891172344</t>
  </si>
  <si>
    <t>까사부사노</t>
  </si>
  <si>
    <t xml:space="preserve">식품류 </t>
  </si>
  <si>
    <t>MA Lager</t>
  </si>
  <si>
    <t>0000000000001</t>
  </si>
  <si>
    <t>MA Honey Lager</t>
  </si>
  <si>
    <t>0000000000002</t>
  </si>
  <si>
    <t>MA Stout</t>
  </si>
  <si>
    <t>0000000000003</t>
  </si>
  <si>
    <t>BUSANO ESPRESSO BEER</t>
  </si>
  <si>
    <t>0000000000004</t>
  </si>
  <si>
    <t>까사부사노 롱블랙 콜드브루</t>
  </si>
  <si>
    <t>0000000000005</t>
  </si>
  <si>
    <t>BPB 기프트박스</t>
  </si>
  <si>
    <t>0000000000006</t>
  </si>
  <si>
    <t>반팔 동백부사노 동백버전 아이보리</t>
  </si>
  <si>
    <t>0000000000007</t>
  </si>
  <si>
    <t>반팔 부사노 오가닉 마름모</t>
  </si>
  <si>
    <t>0000000000008</t>
  </si>
  <si>
    <t>부사노볼캡 6종</t>
  </si>
  <si>
    <t>0000000000009</t>
  </si>
  <si>
    <t>0000000000010</t>
  </si>
  <si>
    <t>부사노 맨투맨 3종</t>
  </si>
  <si>
    <t>0000000000011</t>
  </si>
  <si>
    <t>0000000000012</t>
  </si>
  <si>
    <t>컵</t>
  </si>
  <si>
    <t>에스프레소잔 받침 세트</t>
  </si>
  <si>
    <t>0000000000013</t>
  </si>
  <si>
    <t>카페385</t>
  </si>
  <si>
    <t>10선 협의회</t>
  </si>
  <si>
    <t>카라멜</t>
  </si>
  <si>
    <t>부산 카라멜 단품</t>
  </si>
  <si>
    <t>8809527080395</t>
  </si>
  <si>
    <t>x</t>
  </si>
  <si>
    <t xml:space="preserve">부산 카라멜 스카이 세트 </t>
  </si>
  <si>
    <t>8892843917223</t>
  </si>
  <si>
    <t>부산 카라멜 블루 세트</t>
  </si>
  <si>
    <t>8809527080418</t>
  </si>
  <si>
    <t>부산 카라멜 고구마 세트</t>
  </si>
  <si>
    <t>8802174953432</t>
  </si>
  <si>
    <t>부산커피믹스 오리지날</t>
  </si>
  <si>
    <t>8800201363391</t>
  </si>
  <si>
    <t>부산커피믹스 디카페인</t>
  </si>
  <si>
    <t>8806501348724</t>
  </si>
  <si>
    <t>부산커피믹스 씨쏠트카라멜</t>
  </si>
  <si>
    <t>8802019594883</t>
  </si>
  <si>
    <t>부산커피믹스 카멜리아</t>
  </si>
  <si>
    <t>8809382940377</t>
  </si>
  <si>
    <t>부산커피믹스 세트</t>
  </si>
  <si>
    <t>8808534853961</t>
  </si>
  <si>
    <t>시티커피 블랙시티</t>
  </si>
  <si>
    <t>8803849347822</t>
  </si>
  <si>
    <t>시티커피 스위트시티</t>
  </si>
  <si>
    <t>8809473753121</t>
  </si>
  <si>
    <t>시티커피 브라운시티</t>
  </si>
  <si>
    <t>8804834758470</t>
  </si>
  <si>
    <t>시티커피 라이트시티</t>
  </si>
  <si>
    <t>8802873766388</t>
  </si>
  <si>
    <t>시티커피 세트</t>
  </si>
  <si>
    <t>8897435920353</t>
  </si>
  <si>
    <t>부산별빛샌드</t>
  </si>
  <si>
    <t>식품</t>
  </si>
  <si>
    <t>부산별빛샌드 전병 아몬드</t>
  </si>
  <si>
    <t>0000000000014</t>
  </si>
  <si>
    <t>부산별빛샌드 전병 코코넛</t>
  </si>
  <si>
    <t>0000000000015</t>
  </si>
  <si>
    <t>부산별빛샌드 전병 견과듬뿍</t>
  </si>
  <si>
    <t>0000000000016</t>
  </si>
  <si>
    <t>부산별빛샌드 전병 고구마</t>
  </si>
  <si>
    <t>0000000000017</t>
  </si>
  <si>
    <t>부산별빛샌드 전병 흑임자</t>
  </si>
  <si>
    <t>0000000000018</t>
  </si>
  <si>
    <t>부산별빛샌드 전병 감태</t>
  </si>
  <si>
    <t>0000000000019</t>
  </si>
  <si>
    <t>부산별빛샌드 전병 새우</t>
  </si>
  <si>
    <t>0000000000020</t>
  </si>
  <si>
    <t>모다라</t>
  </si>
  <si>
    <t>소주잔</t>
  </si>
  <si>
    <t>부산 소주잔 2구 세트</t>
  </si>
  <si>
    <t>9809754725426</t>
  </si>
  <si>
    <t>부산 티셔츠</t>
  </si>
  <si>
    <t>2900300800004</t>
  </si>
  <si>
    <t>모다라 머그컵 부산영어</t>
  </si>
  <si>
    <t>9809754729950</t>
  </si>
  <si>
    <t>모다라 머그컵 반짝부산코</t>
  </si>
  <si>
    <t>8709903462121</t>
  </si>
  <si>
    <t>모다라 머그컵 부기</t>
  </si>
  <si>
    <t>2900290900005</t>
  </si>
  <si>
    <t>패션잡화</t>
  </si>
  <si>
    <t>가방</t>
  </si>
  <si>
    <t>타포린백</t>
  </si>
  <si>
    <t>2900301000007</t>
  </si>
  <si>
    <t>대한공예</t>
  </si>
  <si>
    <t>마그넷</t>
  </si>
  <si>
    <t>부산 타일 마그넷</t>
  </si>
  <si>
    <t>2900338100008</t>
  </si>
  <si>
    <t>유리돔 마그넷</t>
  </si>
  <si>
    <t>2900338200005</t>
  </si>
  <si>
    <t>기타</t>
  </si>
  <si>
    <t>잡화</t>
  </si>
  <si>
    <t>부기 목베개</t>
  </si>
  <si>
    <t>2900338300002</t>
  </si>
  <si>
    <t>인형</t>
  </si>
  <si>
    <t>부기 봉제 인형</t>
  </si>
  <si>
    <t>2900338400009</t>
  </si>
  <si>
    <t>병따개</t>
  </si>
  <si>
    <t>병따개 단품</t>
  </si>
  <si>
    <t>8809960194462</t>
  </si>
  <si>
    <t>병따개 3개 세트</t>
  </si>
  <si>
    <t>8809960194463</t>
  </si>
  <si>
    <t>디자인부산</t>
  </si>
  <si>
    <t>향제품</t>
  </si>
  <si>
    <t>디퓨저</t>
  </si>
  <si>
    <t>꼬등어 피규어 방향제</t>
  </si>
  <si>
    <t>2900337600004</t>
  </si>
  <si>
    <t>문구/완구</t>
  </si>
  <si>
    <t>문구류</t>
  </si>
  <si>
    <t>꼬등어 젤펜</t>
  </si>
  <si>
    <t>2900337700001</t>
  </si>
  <si>
    <t>만다꼬 밴드 혼합형</t>
  </si>
  <si>
    <t>8809314396579</t>
  </si>
  <si>
    <t>만다꼬 스트레스볼</t>
  </si>
  <si>
    <t>8809314396739</t>
  </si>
  <si>
    <t xml:space="preserve">만다꼬 아크릴 자석 단품 </t>
  </si>
  <si>
    <t>2900338700000</t>
  </si>
  <si>
    <t xml:space="preserve">꼬등어 빨 아크릴 자석 단품 </t>
  </si>
  <si>
    <t>8809314395978</t>
  </si>
  <si>
    <t xml:space="preserve">꼬등어 주 아크릴 자석 단품 </t>
  </si>
  <si>
    <t>2900337800008</t>
  </si>
  <si>
    <t xml:space="preserve">꼬등어 노 아크릴 자석 단품 </t>
  </si>
  <si>
    <t>8809314395954</t>
  </si>
  <si>
    <t xml:space="preserve">꼬등어 초 아크릴 자석 단품 </t>
  </si>
  <si>
    <t>8809314395961</t>
  </si>
  <si>
    <t xml:space="preserve">꼬등어 파 아크릴 자석 단품 </t>
  </si>
  <si>
    <t>8809314395930</t>
  </si>
  <si>
    <t>꼬등어 꿀잠쿠션 M</t>
  </si>
  <si>
    <t>2900337900005</t>
  </si>
  <si>
    <t>꼬등어 꿀잠쿠션 L</t>
  </si>
  <si>
    <t>2900338000001</t>
  </si>
  <si>
    <t>모이다</t>
  </si>
  <si>
    <t>부산 타일마그넷</t>
  </si>
  <si>
    <t>9909754726475</t>
  </si>
  <si>
    <t>바다 레진 마그넷</t>
  </si>
  <si>
    <t>2900301200001</t>
  </si>
  <si>
    <t>자작나무 마그넷 소</t>
  </si>
  <si>
    <t>9909754726178</t>
  </si>
  <si>
    <t>자작나무 마그넷 중</t>
  </si>
  <si>
    <t>9909754726246</t>
  </si>
  <si>
    <t>자작나무 마그넷 대</t>
  </si>
  <si>
    <t>9909754726123</t>
  </si>
  <si>
    <t>미니바다</t>
  </si>
  <si>
    <t>미니바다 바다 미니 디퓨저</t>
  </si>
  <si>
    <t>2900328100001</t>
  </si>
  <si>
    <t>캔들</t>
  </si>
  <si>
    <t>미니바다 소주 캔들</t>
  </si>
  <si>
    <t>9909754726888</t>
  </si>
  <si>
    <t>미니바다 캔들 손잡이</t>
  </si>
  <si>
    <t>9909754726932</t>
  </si>
  <si>
    <t>착한세상</t>
  </si>
  <si>
    <t>아크릴키링사투리키트</t>
  </si>
  <si>
    <t>8809754720262</t>
  </si>
  <si>
    <t>펜</t>
  </si>
  <si>
    <t>아크릴볼펜</t>
  </si>
  <si>
    <t>8809754720200</t>
  </si>
  <si>
    <t>뱃지</t>
  </si>
  <si>
    <t>부기금속뱃지</t>
  </si>
  <si>
    <t>2900334300006</t>
  </si>
  <si>
    <t>책갈피</t>
  </si>
  <si>
    <t>투명책갈피</t>
  </si>
  <si>
    <t>스티커</t>
  </si>
  <si>
    <t>사투리투명스티커</t>
  </si>
  <si>
    <t>8809754720279</t>
  </si>
  <si>
    <t>엽서</t>
  </si>
  <si>
    <t>부산바다컬러링엽서키트</t>
  </si>
  <si>
    <t>8809754720354</t>
  </si>
  <si>
    <t>아크릴 자개무늬키링</t>
  </si>
  <si>
    <t>아크릴 줄줄이 키링</t>
  </si>
  <si>
    <t>코스마일</t>
  </si>
  <si>
    <t>해운대 엘시티 디퓨저페이퍼</t>
  </si>
  <si>
    <t>8809919210591</t>
  </si>
  <si>
    <t>해운대 마린시티 디퓨저페이퍼</t>
  </si>
  <si>
    <t>8809554620311</t>
  </si>
  <si>
    <t>흰여울문화마을 디퓨저페이퍼</t>
  </si>
  <si>
    <t>8809554620328</t>
  </si>
  <si>
    <t>해운대 청사포 디퓨저페이퍼</t>
  </si>
  <si>
    <t>8809554620335</t>
  </si>
  <si>
    <t>동백섬 디퓨저페이퍼</t>
  </si>
  <si>
    <t>8809554620342</t>
  </si>
  <si>
    <t>광안리 디퓨저페이퍼</t>
  </si>
  <si>
    <t>8809554620359</t>
  </si>
  <si>
    <t>감천문화마을 디퓨저페이퍼</t>
  </si>
  <si>
    <t>8809554620366</t>
  </si>
  <si>
    <t>일러스트 엽서 14종 단품</t>
  </si>
  <si>
    <t>8809919211120</t>
  </si>
  <si>
    <t>코스마일 스티커팩 ver1</t>
  </si>
  <si>
    <t>8809919210560</t>
  </si>
  <si>
    <t>코스마일 스티커팩 ver2</t>
  </si>
  <si>
    <t>8809919210713</t>
  </si>
  <si>
    <t>코스마일 스티커팩 봄</t>
  </si>
  <si>
    <t>8809919210638</t>
  </si>
  <si>
    <t>부산 사투리 소주잔</t>
  </si>
  <si>
    <t>8809919213288</t>
  </si>
  <si>
    <t>주화</t>
  </si>
  <si>
    <t>부산 기념 주화 금</t>
  </si>
  <si>
    <t>8800257691318</t>
  </si>
  <si>
    <t>부산 기념 주화 은</t>
  </si>
  <si>
    <t>8800257691295</t>
  </si>
  <si>
    <t>부산 기념 주화 동</t>
  </si>
  <si>
    <t>8800257691301</t>
  </si>
  <si>
    <t>갈매기 지도 마그넷</t>
  </si>
  <si>
    <t>8809580940445</t>
  </si>
  <si>
    <t>부산 고급 지도 마그넷 해변열차</t>
  </si>
  <si>
    <t>8809580941893</t>
  </si>
  <si>
    <t>콘텐츠코어</t>
  </si>
  <si>
    <t>지갑</t>
  </si>
  <si>
    <t xml:space="preserve">부기 동전지갑 </t>
  </si>
  <si>
    <t>8803535632010</t>
  </si>
  <si>
    <t>부기 워터볼 키링 2종 단품</t>
  </si>
  <si>
    <t>8803535612005</t>
  </si>
  <si>
    <t>부산 갈매기빵</t>
  </si>
  <si>
    <t>8809314980402</t>
  </si>
  <si>
    <t>부기 아크릴 자석</t>
  </si>
  <si>
    <t>부기 행운부적</t>
  </si>
  <si>
    <t>고미랑</t>
  </si>
  <si>
    <t>HERE IT 엽서</t>
  </si>
  <si>
    <t>8809985090042</t>
  </si>
  <si>
    <t>수첩</t>
  </si>
  <si>
    <t>HERE IT 디자인수첩 낮</t>
  </si>
  <si>
    <t>8809985090493</t>
  </si>
  <si>
    <t>HERE IT 디자인수첩 밤</t>
  </si>
  <si>
    <t>8809985090509</t>
  </si>
  <si>
    <t>부산주당</t>
  </si>
  <si>
    <t>술</t>
  </si>
  <si>
    <t>부산낮술</t>
  </si>
  <si>
    <t>9809754729523</t>
  </si>
  <si>
    <t>부산밤술</t>
  </si>
  <si>
    <t>9809754729530</t>
  </si>
  <si>
    <t>잔세트</t>
  </si>
  <si>
    <t>2900256400006</t>
  </si>
  <si>
    <t>솔트컴바인</t>
  </si>
  <si>
    <t>부산 시그니처 사진 미니엽서 단품</t>
  </si>
  <si>
    <t>2012343452048</t>
  </si>
  <si>
    <t>해변소주잔 광안리</t>
  </si>
  <si>
    <t>2027557835631</t>
  </si>
  <si>
    <t>해변소주잔 해운대</t>
  </si>
  <si>
    <t>2009673045064</t>
  </si>
  <si>
    <t>부산 지도 마그넷</t>
  </si>
  <si>
    <t>2018689784539</t>
  </si>
  <si>
    <t>부산 지도 슬라이딩 미니 퍼즐 키링</t>
  </si>
  <si>
    <t>2098077452165</t>
  </si>
  <si>
    <t>부산 아이씨 스티커</t>
  </si>
  <si>
    <t>2015225012842</t>
  </si>
  <si>
    <t>스토리진</t>
  </si>
  <si>
    <t>찻잔</t>
  </si>
  <si>
    <t>부산 찻잔세트</t>
  </si>
  <si>
    <t>에코백</t>
  </si>
  <si>
    <t>에코백 해운대</t>
  </si>
  <si>
    <t>클립펜 해운대</t>
  </si>
  <si>
    <t>0000000000021</t>
  </si>
  <si>
    <t>씨드</t>
  </si>
  <si>
    <t>간편해초샐러드</t>
  </si>
  <si>
    <t>8809568510462</t>
  </si>
  <si>
    <t>생일축하 하트미역 선물세트</t>
  </si>
  <si>
    <t>8809568510264</t>
  </si>
  <si>
    <t>기장 미역</t>
  </si>
  <si>
    <t>8809568510455</t>
  </si>
  <si>
    <t>이솔공방</t>
  </si>
  <si>
    <t>부산엽서</t>
  </si>
  <si>
    <t>2900249700007</t>
  </si>
  <si>
    <t>비누</t>
  </si>
  <si>
    <t>부산비누 광안리</t>
  </si>
  <si>
    <t>8800135220050</t>
  </si>
  <si>
    <t>부산비누 감천문화마을</t>
  </si>
  <si>
    <t>8800135509018</t>
  </si>
  <si>
    <t>부산비누 나의바다</t>
  </si>
  <si>
    <t>8800135220039</t>
  </si>
  <si>
    <t>부산비누 부기</t>
  </si>
  <si>
    <t>8800135060267</t>
  </si>
  <si>
    <t>부산비누 안녕 부산</t>
  </si>
  <si>
    <t>8800135220012</t>
  </si>
  <si>
    <t>비누세트 5 종 세트</t>
  </si>
  <si>
    <t>8800135420030</t>
  </si>
  <si>
    <t>쿠도</t>
  </si>
  <si>
    <t>조개먹은부기잔</t>
  </si>
  <si>
    <t>8809982520337</t>
  </si>
  <si>
    <t>부기와 붓싼 프렌즈 띠부실세트</t>
  </si>
  <si>
    <t>2900266400003</t>
  </si>
  <si>
    <t>사투리키링</t>
  </si>
  <si>
    <t>8809982520429</t>
  </si>
  <si>
    <t>핸드메이드썸</t>
  </si>
  <si>
    <t>부산 타일자석</t>
  </si>
  <si>
    <t>8803150000119</t>
  </si>
  <si>
    <t>부산 에폭시 자석</t>
  </si>
  <si>
    <t>8803150000607</t>
  </si>
  <si>
    <t>부산 책갈피</t>
  </si>
  <si>
    <t>8803150000270</t>
  </si>
  <si>
    <t>끄레망</t>
  </si>
  <si>
    <t>부산 레트로 엘피 티코스터 단품</t>
  </si>
  <si>
    <t>8800274000049</t>
  </si>
  <si>
    <t>부기 레트로 엘피 티코스터 3종 세트</t>
  </si>
  <si>
    <t>8800274000063</t>
  </si>
  <si>
    <t>부산 무설탕 자일리톨 캔디 레몬</t>
  </si>
  <si>
    <t>8800274000025</t>
  </si>
  <si>
    <t>부산 무설탕 자일리톨 캔디 민트</t>
  </si>
  <si>
    <t>8800274000018</t>
  </si>
  <si>
    <t>부산 무설탕 자일리톨 캔디 복숭아</t>
  </si>
  <si>
    <t>8800274000001</t>
  </si>
  <si>
    <t>사탕</t>
  </si>
  <si>
    <t>부산 무설탕 자일리톨 캔디 굿즈팩</t>
  </si>
  <si>
    <t>8800274000056</t>
  </si>
  <si>
    <t>홀리데이 인 부산 - 감천</t>
  </si>
  <si>
    <t>부기 행운 부적 키링 4종</t>
  </si>
  <si>
    <t>부산 트래블 데코 스티커팩 2종</t>
  </si>
  <si>
    <t>디자인플러스마인드</t>
  </si>
  <si>
    <t>퐁당 아니되옵니다 비치타올</t>
  </si>
  <si>
    <t>0125082500104</t>
  </si>
  <si>
    <t xml:space="preserve"> 퐁당 킹페이스 비치타올</t>
  </si>
  <si>
    <t>0125082500105</t>
  </si>
  <si>
    <t>퐁당퐁당 부산티셔츠 M</t>
  </si>
  <si>
    <t>0525082500102</t>
  </si>
  <si>
    <t>퐁당퐁당 부산티셔츠 XL</t>
  </si>
  <si>
    <t>0525082500104</t>
  </si>
  <si>
    <t>만들꿈</t>
  </si>
  <si>
    <t xml:space="preserve">부산야행 </t>
  </si>
  <si>
    <t>2900337200006</t>
  </si>
  <si>
    <t>청사포 너의 등대</t>
  </si>
  <si>
    <t>2900337300003</t>
  </si>
  <si>
    <t>코롯토 낭만부산 대</t>
  </si>
  <si>
    <t>2900337400000</t>
  </si>
  <si>
    <t>코롯토 낭만부산 중</t>
  </si>
  <si>
    <t>2900337500007</t>
  </si>
  <si>
    <t>보아스</t>
  </si>
  <si>
    <t>메모리오브부산 아크릴 마그넷</t>
  </si>
  <si>
    <t>2900306500007</t>
  </si>
  <si>
    <t>메모리오브부산 원목 액자 마그넷 大</t>
  </si>
  <si>
    <t>2900306300003</t>
  </si>
  <si>
    <t>메모리오브부산 원목 액자 마그넷 小</t>
  </si>
  <si>
    <t>2900306400000</t>
  </si>
  <si>
    <t>온도담</t>
  </si>
  <si>
    <t>동래소주잔 단품</t>
  </si>
  <si>
    <t>8020000048484</t>
  </si>
  <si>
    <t>동래소주잔 2개 세트</t>
  </si>
  <si>
    <t>9771210107056</t>
  </si>
  <si>
    <t>식기류</t>
  </si>
  <si>
    <t>막걸리잔 단품</t>
  </si>
  <si>
    <t>9771210107063</t>
  </si>
  <si>
    <t>막걸리잔 2개 세트</t>
  </si>
  <si>
    <t>9771210107001</t>
  </si>
  <si>
    <t>자갈치오지매</t>
  </si>
  <si>
    <t>부산을 품은 오징어</t>
  </si>
  <si>
    <t>8800254080092</t>
  </si>
  <si>
    <t>부산을 품은 아귀</t>
  </si>
  <si>
    <t>8800254080108</t>
  </si>
  <si>
    <t>부산을 품은 쥐포</t>
  </si>
  <si>
    <t>8800254080115</t>
  </si>
  <si>
    <t>부산을 품은 숏다리</t>
  </si>
  <si>
    <t>8800254080139</t>
  </si>
  <si>
    <t>부산을 품은 버터오징어</t>
  </si>
  <si>
    <t>8800254080122</t>
  </si>
  <si>
    <t>부산을 품은 김스낵 현미맛</t>
  </si>
  <si>
    <t>8800254080153</t>
  </si>
  <si>
    <t>부산을 품은 김스낵 땅콩맛</t>
  </si>
  <si>
    <t>8800254080177</t>
  </si>
  <si>
    <t>부산을 품은 김스낵 매운맛</t>
  </si>
  <si>
    <t>8800254080160</t>
  </si>
  <si>
    <t>부산을 품은 김스낵 초코맛</t>
  </si>
  <si>
    <t>8800254080146</t>
  </si>
  <si>
    <t>부산을 품은 건어물 선물 7세트</t>
  </si>
  <si>
    <t>2900321000001</t>
  </si>
  <si>
    <t>부산을 품은 김스낵 선물 8세트</t>
  </si>
  <si>
    <t>2900338900004</t>
  </si>
  <si>
    <t>테이스티키친</t>
  </si>
  <si>
    <t>부산 돼국라면 쿠션키링</t>
  </si>
  <si>
    <t>8809850970365</t>
  </si>
  <si>
    <t>부산 문방구 세트</t>
  </si>
  <si>
    <t>8205178426641</t>
  </si>
  <si>
    <t>한국바이오뷰티</t>
  </si>
  <si>
    <t>마차바라 퍼즐 광안</t>
  </si>
  <si>
    <t>8800323600275</t>
  </si>
  <si>
    <t>마차바라 퍼즐 죽성</t>
  </si>
  <si>
    <t>8800323600282</t>
  </si>
  <si>
    <t>마차바라 퍼즐 감천</t>
  </si>
  <si>
    <t>8800323600299</t>
  </si>
  <si>
    <t>캠핑컵</t>
  </si>
  <si>
    <t>광안 미니 캠핑컵</t>
  </si>
  <si>
    <t>8800323600213</t>
  </si>
  <si>
    <t>부산 다담은 머그컵 광안</t>
  </si>
  <si>
    <t>8800323600206</t>
  </si>
  <si>
    <t>부산 다담은 머그컵 죽성</t>
  </si>
  <si>
    <t>8800323600350</t>
  </si>
  <si>
    <t>부산 다담은 머그컵 감천</t>
  </si>
  <si>
    <t>8800323600343</t>
  </si>
  <si>
    <t>부산 아티스트 키링 등대부기</t>
  </si>
  <si>
    <t>8800323600534</t>
  </si>
  <si>
    <t>부산 아티스트 키링 갓부기</t>
  </si>
  <si>
    <t>8800323600602</t>
  </si>
  <si>
    <t>부산 아티스트 키링 용궁사</t>
  </si>
  <si>
    <t>8800323600572</t>
  </si>
  <si>
    <t>부산 아티스트 키링 감천고양이</t>
  </si>
  <si>
    <t>8800323600176</t>
  </si>
  <si>
    <t>부산 아티스트 키링 단청</t>
  </si>
  <si>
    <t>8800323600596</t>
  </si>
  <si>
    <t>부산 아티스트 키링 식스부기</t>
  </si>
  <si>
    <t>8800323600589</t>
  </si>
  <si>
    <t>부산 아티스트 키링 튜브부기</t>
  </si>
  <si>
    <t>8800323600541</t>
  </si>
  <si>
    <t>부산 아티스트 키링 부산지도</t>
  </si>
  <si>
    <t>8800323600138</t>
  </si>
  <si>
    <t>부산 아티스트 키링 블루라인</t>
  </si>
  <si>
    <t>8800323600152</t>
  </si>
  <si>
    <t>부산 아티스트 키링 미니감천</t>
  </si>
  <si>
    <t>8800323600169</t>
  </si>
  <si>
    <t>부산 아티스트 키링 감천마을</t>
  </si>
  <si>
    <t>8800323600015</t>
  </si>
  <si>
    <t>부산 아티스트 키링 광안대교</t>
  </si>
  <si>
    <t>8800323600022</t>
  </si>
  <si>
    <t>부산 마그넷 블루라인</t>
  </si>
  <si>
    <t>8800323600145</t>
  </si>
  <si>
    <t>부산 마그넷 부산타워</t>
  </si>
  <si>
    <t>8800323600114</t>
  </si>
  <si>
    <t>부산 마그넷 용궁사</t>
  </si>
  <si>
    <t>8800323600565</t>
  </si>
  <si>
    <t>부산 마그넷 감천마을</t>
  </si>
  <si>
    <t>8800323600107</t>
  </si>
  <si>
    <t>부산 마그넷 광안대교</t>
  </si>
  <si>
    <t>8800323600121</t>
  </si>
  <si>
    <t>광안 티코스터 부기</t>
  </si>
  <si>
    <t>8800323600473</t>
  </si>
  <si>
    <t>광안 티코스터 광안</t>
  </si>
  <si>
    <t>8800323600404</t>
  </si>
  <si>
    <t>부산 낭만 머그컵 광안</t>
  </si>
  <si>
    <t>8800323600183</t>
  </si>
  <si>
    <t>부산 낭만 머그컵 죽성</t>
  </si>
  <si>
    <t>8800323600336</t>
  </si>
  <si>
    <t>부산 낭만 머그컵 감천</t>
  </si>
  <si>
    <t>8800323600329</t>
  </si>
  <si>
    <t>넓은뿌리공작소</t>
  </si>
  <si>
    <t>퍼즐</t>
  </si>
  <si>
    <t>큐브퍼즐 광안오토바이 부산시티팝</t>
  </si>
  <si>
    <t>8869304700007</t>
  </si>
  <si>
    <t>부산시티팝 부산시티 엽서</t>
  </si>
  <si>
    <t>8109170000123</t>
  </si>
  <si>
    <t>헤일리</t>
  </si>
  <si>
    <t>홈페이지 신청</t>
  </si>
  <si>
    <t>미용</t>
  </si>
  <si>
    <t>연천 율무 트러블 세럼</t>
  </si>
  <si>
    <t>8809860300143</t>
  </si>
  <si>
    <t>안동 미나리 카밍 세럼</t>
  </si>
  <si>
    <t>8809860300129</t>
  </si>
  <si>
    <t>양양 해송 퀵 카밍 스팟패치</t>
  </si>
  <si>
    <t>8809455423905</t>
  </si>
  <si>
    <t>해남 무화과 다크스팟 브라이트닝 패치</t>
  </si>
  <si>
    <t>8809455423882</t>
  </si>
  <si>
    <t>주식회사 펀샤인</t>
  </si>
  <si>
    <t>인센스</t>
  </si>
  <si>
    <t>영도 부두 페이퍼 인센스</t>
  </si>
  <si>
    <t>8809505286818</t>
  </si>
  <si>
    <t>해운대 해수욕장 페이퍼 인센스</t>
  </si>
  <si>
    <t>8809505286771</t>
  </si>
  <si>
    <t>감천문화마을 페이퍼 인센스</t>
  </si>
  <si>
    <t>8809505286795</t>
  </si>
  <si>
    <t>광안리 밤바다 페이퍼 인센스</t>
  </si>
  <si>
    <t>8809505286788</t>
  </si>
  <si>
    <t>청사포 늦은 오후 페이퍼 인센스</t>
  </si>
  <si>
    <t>8809505286801</t>
  </si>
  <si>
    <t>부산을 담은</t>
  </si>
  <si>
    <t>어포칩</t>
  </si>
  <si>
    <t>부산을 담은 불닭 어포튀각</t>
  </si>
  <si>
    <t>8809990907618</t>
  </si>
  <si>
    <t>부산을 담은 청양마요 어포튀각</t>
  </si>
  <si>
    <t>8809990907625</t>
  </si>
  <si>
    <t>부산을 담은 어묵칩 어포튀각</t>
  </si>
  <si>
    <t>8809990907601</t>
  </si>
  <si>
    <t>부산을 담은 쉐이킷 어포튀각</t>
  </si>
  <si>
    <t>8809990907632</t>
  </si>
  <si>
    <t>김부각</t>
  </si>
  <si>
    <t>찹쌀 김부각</t>
  </si>
  <si>
    <t>0000000000022</t>
  </si>
  <si>
    <t>해승 J&amp;T</t>
  </si>
  <si>
    <r>
      <rPr>
        <sz val="10"/>
        <color rgb="FF202124"/>
        <rFont val="맑은 고딕"/>
        <family val="3"/>
        <charset val="129"/>
      </rPr>
      <t>부산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파도상자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큐브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해운대</t>
    </r>
  </si>
  <si>
    <t>8800825190526</t>
  </si>
  <si>
    <r>
      <rPr>
        <sz val="10"/>
        <color rgb="FF202124"/>
        <rFont val="맑은 고딕"/>
        <family val="3"/>
        <charset val="129"/>
      </rPr>
      <t>부산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파도상자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큐브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어린왕자</t>
    </r>
  </si>
  <si>
    <t>9126007240339</t>
  </si>
  <si>
    <r>
      <rPr>
        <sz val="10"/>
        <color rgb="FF202124"/>
        <rFont val="맑은 고딕"/>
        <family val="3"/>
        <charset val="129"/>
      </rPr>
      <t>부산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파도상자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큐브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청사포</t>
    </r>
  </si>
  <si>
    <t>8800825190496</t>
  </si>
  <si>
    <r>
      <rPr>
        <sz val="10"/>
        <color rgb="FF202124"/>
        <rFont val="맑은 고딕"/>
        <family val="3"/>
        <charset val="129"/>
      </rPr>
      <t>부산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파도상자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큐브</t>
    </r>
    <r>
      <rPr>
        <sz val="10"/>
        <color rgb="FF202124"/>
        <rFont val="Arial"/>
      </rPr>
      <t xml:space="preserve"> </t>
    </r>
    <r>
      <rPr>
        <sz val="10"/>
        <color rgb="FF202124"/>
        <rFont val="맑은 고딕"/>
        <family val="3"/>
        <charset val="129"/>
      </rPr>
      <t>광안리</t>
    </r>
  </si>
  <si>
    <t>8800825190533</t>
  </si>
  <si>
    <t>부산 타이포 반팔티</t>
  </si>
  <si>
    <t>9126007250666</t>
  </si>
  <si>
    <t>부산 우드 원형 어린이왕자 마그넷</t>
  </si>
  <si>
    <t>9126007231139</t>
  </si>
  <si>
    <t>부산 우드 사각 마그넷</t>
  </si>
  <si>
    <t>9126007231122</t>
  </si>
  <si>
    <t>스튜디오 또</t>
  </si>
  <si>
    <t>보드게임</t>
  </si>
  <si>
    <t>부스터즈 부산여행 보드게임</t>
  </si>
  <si>
    <t>2052406202</t>
  </si>
  <si>
    <t>부산고등어빵</t>
  </si>
  <si>
    <t>고등어빵 셋트</t>
  </si>
  <si>
    <t>2900308300001</t>
  </si>
  <si>
    <t>고도리빵 셋트</t>
  </si>
  <si>
    <t>2900307300002</t>
  </si>
  <si>
    <t>부산슈퍼 청사포점</t>
  </si>
  <si>
    <t>공사PB</t>
  </si>
  <si>
    <t>부산음식키링 돼지국밥</t>
  </si>
  <si>
    <t>2025072429113</t>
  </si>
  <si>
    <t>부산음식키링 밀면</t>
  </si>
  <si>
    <t>2025072411286</t>
  </si>
  <si>
    <t>부산음식키링 대저토마토</t>
  </si>
  <si>
    <t>2025072463353</t>
  </si>
  <si>
    <t>부산음식키링 물떡오뎅</t>
  </si>
  <si>
    <t>2025072412269</t>
  </si>
  <si>
    <t>부산음식키링 씨앗호떡</t>
  </si>
  <si>
    <t>2025012607243</t>
  </si>
  <si>
    <t>부산명소키링 청사포해변열차</t>
  </si>
  <si>
    <t>2025072412153</t>
  </si>
  <si>
    <t>부산명소키링 청사포빨간등대</t>
  </si>
  <si>
    <t>2025072407074</t>
  </si>
  <si>
    <t>부산명소키링 광안대교</t>
  </si>
  <si>
    <t>2025072405247</t>
  </si>
  <si>
    <t>부산명소키링 마린시티</t>
  </si>
  <si>
    <t>2025072401263</t>
  </si>
  <si>
    <t>부산명소키링 용궁사</t>
  </si>
  <si>
    <t>2025072403038</t>
  </si>
  <si>
    <t>광안대교 불꽃 변온소주잔</t>
  </si>
  <si>
    <t>2025335607241</t>
  </si>
  <si>
    <t>청사포 해변열차 변온소주잔</t>
  </si>
  <si>
    <t>2025121506048</t>
  </si>
  <si>
    <t>2way 마그넷 8종</t>
  </si>
  <si>
    <t>8809754729333</t>
  </si>
  <si>
    <t>2900027600000</t>
    <phoneticPr fontId="12" type="noConversion"/>
  </si>
  <si>
    <t>2900031100008</t>
    <phoneticPr fontId="12" type="noConversion"/>
  </si>
  <si>
    <t>2900044600007</t>
    <phoneticPr fontId="12" type="noConversion"/>
  </si>
  <si>
    <t>8800274000094</t>
    <phoneticPr fontId="12" type="noConversion"/>
  </si>
  <si>
    <t>8800274000162</t>
    <phoneticPr fontId="12" type="noConversion"/>
  </si>
  <si>
    <t>8803535611145</t>
    <phoneticPr fontId="12" type="noConversion"/>
  </si>
  <si>
    <t>8803535632003</t>
    <phoneticPr fontId="12" type="noConversion"/>
  </si>
  <si>
    <t>8809754720309</t>
    <phoneticPr fontId="12" type="noConversion"/>
  </si>
  <si>
    <t>8809754721979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</si>
</sst>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3">
    <font>
      <sz val="10"/>
      <color rgb="FF000000"/>
      <name val="Arial"/>
      <scheme val="minor"/>
    </font>
    <font>
      <b/>
      <sz val="10"/>
      <color theme="1"/>
      <name val="Malgun Gothic"/>
      <family val="3"/>
      <charset val="129"/>
    </font>
    <font>
      <sz val="10"/>
      <name val="Arial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theme="1"/>
      <name val="Arial"/>
    </font>
    <font>
      <sz val="10"/>
      <color rgb="FF000000"/>
      <name val="Pretendard SemiBold"/>
      <family val="3"/>
      <charset val="129"/>
    </font>
    <font>
      <sz val="10"/>
      <color rgb="FF000000"/>
      <name val="Arial"/>
    </font>
    <font>
      <sz val="10"/>
      <color rgb="FF202124"/>
      <name val="Arial"/>
    </font>
    <font>
      <sz val="10"/>
      <color rgb="FF202124"/>
      <name val="Malgun Gothic"/>
      <family val="3"/>
      <charset val="129"/>
    </font>
    <font>
      <sz val="10"/>
      <color rgb="FF202124"/>
      <name val="맑은 고딕"/>
      <family val="3"/>
      <charset val="129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DAE9F8"/>
        <bgColor rgb="FFDAE9F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4" borderId="8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vertical="center"/>
    </xf>
    <xf numFmtId="3" fontId="3" fillId="2" borderId="7" xfId="0" applyNumberFormat="1" applyFont="1" applyFill="1" applyBorder="1" applyAlignment="1">
      <alignment vertical="center"/>
    </xf>
    <xf numFmtId="3" fontId="4" fillId="0" borderId="9" xfId="0" applyNumberFormat="1" applyFont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right"/>
    </xf>
    <xf numFmtId="49" fontId="4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6" fillId="0" borderId="7" xfId="0" applyFont="1" applyBorder="1"/>
    <xf numFmtId="3" fontId="3" fillId="2" borderId="0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표준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O1010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O12" sqref="O12"/>
    </sheetView>
  </sheetViews>
  <sheetFormatPr defaultColWidth="12.5703125" defaultRowHeight="15.75" customHeight="1"/>
  <cols>
    <col min="1" max="1" width="6.85546875" customWidth="1"/>
    <col min="2" max="2" width="16" customWidth="1"/>
    <col min="3" max="3" width="11.5703125" customWidth="1"/>
    <col min="4" max="4" width="10.140625" customWidth="1"/>
    <col min="5" max="5" width="7.5703125" customWidth="1"/>
    <col min="6" max="6" width="30" customWidth="1"/>
    <col min="7" max="7" width="9.7109375" customWidth="1"/>
    <col min="8" max="8" width="28.140625" style="41" customWidth="1"/>
    <col min="9" max="10" width="5.140625" customWidth="1"/>
    <col min="11" max="11" width="6.85546875" customWidth="1"/>
    <col min="12" max="12" width="13.5703125" hidden="1" customWidth="1"/>
    <col min="13" max="13" width="8.5703125" hidden="1" customWidth="1"/>
    <col min="14" max="14" width="12.42578125" customWidth="1"/>
    <col min="15" max="19" width="11.5703125" customWidth="1"/>
    <col min="20" max="21" width="13.5703125" customWidth="1"/>
    <col min="22" max="27" width="14.42578125" customWidth="1"/>
    <col min="28" max="34" width="13.28515625" customWidth="1"/>
    <col min="35" max="35" width="10.140625" customWidth="1"/>
    <col min="36" max="41" width="7.5703125" customWidth="1"/>
  </cols>
  <sheetData>
    <row r="1" spans="1:41" ht="23.25" customHeight="1">
      <c r="A1" s="33" t="s">
        <v>0</v>
      </c>
      <c r="B1" s="34"/>
      <c r="C1" s="34"/>
      <c r="D1" s="34"/>
      <c r="E1" s="35"/>
      <c r="F1" s="1"/>
      <c r="G1" s="1"/>
      <c r="H1" s="38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2"/>
      <c r="AM1" s="2"/>
      <c r="AN1" s="2"/>
      <c r="AO1" s="2"/>
    </row>
    <row r="2" spans="1:41" ht="39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39" t="s">
        <v>8</v>
      </c>
      <c r="I2" s="7" t="s">
        <v>9</v>
      </c>
      <c r="J2" s="7" t="s">
        <v>10</v>
      </c>
      <c r="K2" s="7" t="s">
        <v>11</v>
      </c>
      <c r="L2" s="4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9" t="s">
        <v>34</v>
      </c>
      <c r="AI2" s="10" t="s">
        <v>35</v>
      </c>
      <c r="AJ2" s="2"/>
      <c r="AK2" s="2"/>
      <c r="AL2" s="2"/>
      <c r="AM2" s="2"/>
      <c r="AN2" s="2"/>
      <c r="AO2" s="2"/>
    </row>
    <row r="3" spans="1:41" ht="13.5">
      <c r="A3" s="11">
        <v>105</v>
      </c>
      <c r="B3" s="12" t="s">
        <v>289</v>
      </c>
      <c r="C3" s="11" t="s">
        <v>160</v>
      </c>
      <c r="D3" s="11" t="s">
        <v>246</v>
      </c>
      <c r="E3" s="11" t="s">
        <v>298</v>
      </c>
      <c r="F3" s="13" t="s">
        <v>299</v>
      </c>
      <c r="G3" s="19">
        <v>1000</v>
      </c>
      <c r="H3" s="25" t="s">
        <v>661</v>
      </c>
      <c r="I3" s="11" t="s">
        <v>41</v>
      </c>
      <c r="J3" s="11" t="s">
        <v>42</v>
      </c>
      <c r="K3" s="15">
        <v>30</v>
      </c>
      <c r="L3" s="15">
        <v>30</v>
      </c>
      <c r="M3" s="15" t="e">
        <f>#REF!=L3</f>
        <v>#REF!</v>
      </c>
      <c r="N3" s="15"/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7">
        <f>SUM(K3, N3:AB3) - AH3</f>
        <v>30</v>
      </c>
      <c r="AJ3" s="2"/>
      <c r="AK3" s="2"/>
      <c r="AL3" s="2"/>
      <c r="AM3" s="2"/>
      <c r="AN3" s="2"/>
      <c r="AO3" s="2"/>
    </row>
    <row r="4" spans="1:41" ht="13.5">
      <c r="A4" s="11">
        <v>140</v>
      </c>
      <c r="B4" s="12" t="s">
        <v>383</v>
      </c>
      <c r="C4" s="11" t="s">
        <v>160</v>
      </c>
      <c r="D4" s="11" t="s">
        <v>95</v>
      </c>
      <c r="E4" s="11" t="s">
        <v>384</v>
      </c>
      <c r="F4" s="23" t="s">
        <v>385</v>
      </c>
      <c r="G4" s="19">
        <v>30000</v>
      </c>
      <c r="H4" s="25" t="s">
        <v>661</v>
      </c>
      <c r="I4" s="11" t="s">
        <v>41</v>
      </c>
      <c r="J4" s="11" t="s">
        <v>42</v>
      </c>
      <c r="K4" s="15">
        <v>5</v>
      </c>
      <c r="L4" s="15">
        <v>5</v>
      </c>
      <c r="M4" s="15" t="e">
        <f>#REF!=L4</f>
        <v>#REF!</v>
      </c>
      <c r="N4" s="15">
        <v>5</v>
      </c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>
        <v>5</v>
      </c>
      <c r="AI4" s="17">
        <f>SUM(K4, N4:AB4) - AH4</f>
        <v>5</v>
      </c>
      <c r="AJ4" s="2"/>
      <c r="AK4" s="2"/>
      <c r="AL4" s="2"/>
      <c r="AM4" s="2"/>
      <c r="AN4" s="2"/>
      <c r="AO4" s="2"/>
    </row>
    <row r="5" spans="1:41" ht="13.5">
      <c r="A5" s="11">
        <v>141</v>
      </c>
      <c r="B5" s="12" t="s">
        <v>383</v>
      </c>
      <c r="C5" s="11" t="s">
        <v>160</v>
      </c>
      <c r="D5" s="11" t="s">
        <v>219</v>
      </c>
      <c r="E5" s="11" t="s">
        <v>386</v>
      </c>
      <c r="F5" s="23" t="s">
        <v>387</v>
      </c>
      <c r="G5" s="19">
        <v>10000</v>
      </c>
      <c r="H5" s="25" t="s">
        <v>662</v>
      </c>
      <c r="I5" s="11" t="s">
        <v>41</v>
      </c>
      <c r="J5" s="11" t="s">
        <v>42</v>
      </c>
      <c r="K5" s="15">
        <v>3</v>
      </c>
      <c r="L5" s="15">
        <v>3</v>
      </c>
      <c r="M5" s="15" t="e">
        <f>#REF!=L5</f>
        <v>#REF!</v>
      </c>
      <c r="N5" s="15"/>
      <c r="O5" s="1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7">
        <f>SUM(K5, N5:AB5) - AH5</f>
        <v>3</v>
      </c>
      <c r="AJ5" s="2"/>
      <c r="AK5" s="2"/>
      <c r="AL5" s="2"/>
      <c r="AM5" s="2"/>
      <c r="AN5" s="2"/>
      <c r="AO5" s="2"/>
    </row>
    <row r="6" spans="1:41" ht="13.5">
      <c r="A6" s="11"/>
      <c r="B6" s="12" t="s">
        <v>427</v>
      </c>
      <c r="C6" s="11" t="s">
        <v>160</v>
      </c>
      <c r="D6" s="11" t="s">
        <v>246</v>
      </c>
      <c r="E6" s="11"/>
      <c r="F6" s="13" t="s">
        <v>441</v>
      </c>
      <c r="G6" s="19">
        <v>4410</v>
      </c>
      <c r="H6" s="25" t="s">
        <v>663</v>
      </c>
      <c r="I6" s="11"/>
      <c r="J6" s="12"/>
      <c r="K6" s="15"/>
      <c r="L6" s="15"/>
      <c r="M6" s="15"/>
      <c r="N6" s="15"/>
      <c r="O6" s="1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>
        <v>20</v>
      </c>
      <c r="AH6" s="16"/>
      <c r="AI6" s="21"/>
      <c r="AJ6" s="2"/>
      <c r="AK6" s="2"/>
      <c r="AL6" s="2"/>
      <c r="AM6" s="2"/>
      <c r="AN6" s="2"/>
      <c r="AO6" s="2"/>
    </row>
    <row r="7" spans="1:41" ht="13.5">
      <c r="A7" s="11"/>
      <c r="B7" s="12" t="s">
        <v>427</v>
      </c>
      <c r="C7" s="11" t="s">
        <v>160</v>
      </c>
      <c r="D7" s="11" t="s">
        <v>246</v>
      </c>
      <c r="E7" s="11"/>
      <c r="F7" s="13" t="s">
        <v>443</v>
      </c>
      <c r="G7" s="19">
        <v>2900</v>
      </c>
      <c r="H7" s="25" t="s">
        <v>664</v>
      </c>
      <c r="I7" s="11"/>
      <c r="J7" s="12"/>
      <c r="K7" s="15"/>
      <c r="L7" s="15"/>
      <c r="M7" s="15"/>
      <c r="N7" s="15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>
        <v>20</v>
      </c>
      <c r="AH7" s="16"/>
      <c r="AI7" s="21"/>
      <c r="AJ7" s="2"/>
      <c r="AK7" s="2"/>
      <c r="AL7" s="2"/>
      <c r="AM7" s="2"/>
      <c r="AN7" s="2"/>
      <c r="AO7" s="2"/>
    </row>
    <row r="8" spans="1:41" ht="13.5">
      <c r="A8" s="11"/>
      <c r="B8" s="12" t="s">
        <v>427</v>
      </c>
      <c r="C8" s="11" t="s">
        <v>160</v>
      </c>
      <c r="D8" s="11" t="s">
        <v>246</v>
      </c>
      <c r="E8" s="11"/>
      <c r="F8" s="13" t="s">
        <v>442</v>
      </c>
      <c r="G8" s="19">
        <v>7900</v>
      </c>
      <c r="H8" s="25" t="s">
        <v>665</v>
      </c>
      <c r="I8" s="11"/>
      <c r="J8" s="12"/>
      <c r="K8" s="15"/>
      <c r="L8" s="15"/>
      <c r="M8" s="15"/>
      <c r="N8" s="15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>
        <v>40</v>
      </c>
      <c r="AH8" s="16"/>
      <c r="AI8" s="21"/>
      <c r="AJ8" s="2"/>
      <c r="AK8" s="2"/>
      <c r="AL8" s="2"/>
      <c r="AM8" s="2"/>
      <c r="AN8" s="2"/>
      <c r="AO8" s="2"/>
    </row>
    <row r="9" spans="1:41" ht="13.5">
      <c r="A9" s="11"/>
      <c r="B9" s="12" t="s">
        <v>344</v>
      </c>
      <c r="C9" s="11" t="s">
        <v>160</v>
      </c>
      <c r="D9" s="11" t="s">
        <v>99</v>
      </c>
      <c r="E9" s="11" t="s">
        <v>192</v>
      </c>
      <c r="F9" s="13" t="s">
        <v>353</v>
      </c>
      <c r="G9" s="19"/>
      <c r="H9" s="25" t="s">
        <v>666</v>
      </c>
      <c r="I9" s="11" t="s">
        <v>41</v>
      </c>
      <c r="J9" s="12" t="s">
        <v>164</v>
      </c>
      <c r="K9" s="15"/>
      <c r="L9" s="15"/>
      <c r="M9" s="15"/>
      <c r="N9" s="15"/>
      <c r="O9" s="1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>
        <v>30</v>
      </c>
      <c r="AE9" s="16"/>
      <c r="AF9" s="16"/>
      <c r="AG9" s="16"/>
      <c r="AH9" s="16">
        <v>7</v>
      </c>
      <c r="AI9" s="21"/>
      <c r="AJ9" s="2"/>
      <c r="AK9" s="2"/>
      <c r="AL9" s="2"/>
      <c r="AM9" s="2"/>
      <c r="AN9" s="2"/>
      <c r="AO9" s="2"/>
    </row>
    <row r="10" spans="1:41" ht="13.5">
      <c r="A10" s="11"/>
      <c r="B10" s="12" t="s">
        <v>344</v>
      </c>
      <c r="C10" s="11" t="s">
        <v>160</v>
      </c>
      <c r="D10" s="11" t="s">
        <v>99</v>
      </c>
      <c r="E10" s="11" t="s">
        <v>192</v>
      </c>
      <c r="F10" s="13" t="s">
        <v>352</v>
      </c>
      <c r="G10" s="19"/>
      <c r="H10" s="25" t="s">
        <v>667</v>
      </c>
      <c r="I10" s="11" t="s">
        <v>41</v>
      </c>
      <c r="J10" s="12" t="s">
        <v>164</v>
      </c>
      <c r="K10" s="15"/>
      <c r="L10" s="15"/>
      <c r="M10" s="15"/>
      <c r="N10" s="15"/>
      <c r="O10" s="1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>
        <v>45</v>
      </c>
      <c r="AE10" s="16"/>
      <c r="AF10" s="16"/>
      <c r="AG10" s="16"/>
      <c r="AH10" s="16"/>
      <c r="AI10" s="21"/>
      <c r="AJ10" s="2"/>
      <c r="AK10" s="2"/>
      <c r="AL10" s="2"/>
      <c r="AM10" s="2"/>
      <c r="AN10" s="2"/>
      <c r="AO10" s="2"/>
    </row>
    <row r="11" spans="1:41" ht="13.5">
      <c r="A11" s="11"/>
      <c r="B11" s="12" t="s">
        <v>289</v>
      </c>
      <c r="C11" s="11" t="s">
        <v>160</v>
      </c>
      <c r="D11" s="11" t="s">
        <v>99</v>
      </c>
      <c r="E11" s="11" t="s">
        <v>100</v>
      </c>
      <c r="F11" s="13" t="s">
        <v>306</v>
      </c>
      <c r="G11" s="19">
        <v>12000</v>
      </c>
      <c r="H11" s="25" t="s">
        <v>668</v>
      </c>
      <c r="I11" s="11" t="s">
        <v>41</v>
      </c>
      <c r="J11" s="11" t="s">
        <v>42</v>
      </c>
      <c r="K11" s="15"/>
      <c r="L11" s="15"/>
      <c r="M11" s="15"/>
      <c r="N11" s="15"/>
      <c r="O11" s="15"/>
      <c r="P11" s="16"/>
      <c r="Q11" s="16"/>
      <c r="R11" s="16"/>
      <c r="S11" s="16"/>
      <c r="T11" s="16"/>
      <c r="U11" s="16"/>
      <c r="V11" s="16"/>
      <c r="W11" s="16">
        <v>100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>
        <v>5</v>
      </c>
      <c r="AI11" s="17">
        <f>SUM(K11, N11:AB11) - AH11</f>
        <v>95</v>
      </c>
      <c r="AJ11" s="2"/>
      <c r="AK11" s="2"/>
      <c r="AL11" s="2"/>
      <c r="AM11" s="2"/>
      <c r="AN11" s="2"/>
      <c r="AO11" s="2"/>
    </row>
    <row r="12" spans="1:41" ht="13.5">
      <c r="A12" s="11"/>
      <c r="B12" s="12" t="s">
        <v>289</v>
      </c>
      <c r="C12" s="11" t="s">
        <v>160</v>
      </c>
      <c r="D12" s="11" t="s">
        <v>99</v>
      </c>
      <c r="E12" s="11" t="s">
        <v>100</v>
      </c>
      <c r="F12" s="13" t="s">
        <v>307</v>
      </c>
      <c r="G12" s="19">
        <v>9000</v>
      </c>
      <c r="H12" s="25" t="s">
        <v>669</v>
      </c>
      <c r="I12" s="11" t="s">
        <v>41</v>
      </c>
      <c r="J12" s="11" t="s">
        <v>42</v>
      </c>
      <c r="K12" s="15"/>
      <c r="L12" s="15"/>
      <c r="M12" s="15"/>
      <c r="N12" s="15"/>
      <c r="O12" s="15"/>
      <c r="P12" s="16"/>
      <c r="Q12" s="16"/>
      <c r="R12" s="16"/>
      <c r="S12" s="16"/>
      <c r="T12" s="16"/>
      <c r="U12" s="16"/>
      <c r="V12" s="16"/>
      <c r="W12" s="16">
        <v>40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>
        <f>SUM(K12, N12:AB12) - AH12</f>
        <v>40</v>
      </c>
      <c r="AJ12" s="2"/>
      <c r="AK12" s="2"/>
      <c r="AL12" s="2"/>
      <c r="AM12" s="2"/>
      <c r="AN12" s="2"/>
      <c r="AO12" s="2"/>
    </row>
    <row r="13" spans="1:41" ht="13.5">
      <c r="A13" s="11">
        <v>39</v>
      </c>
      <c r="B13" s="12" t="s">
        <v>132</v>
      </c>
      <c r="C13" s="11" t="s">
        <v>37</v>
      </c>
      <c r="D13" s="11" t="s">
        <v>133</v>
      </c>
      <c r="E13" s="11" t="s">
        <v>107</v>
      </c>
      <c r="F13" s="11" t="s">
        <v>134</v>
      </c>
      <c r="G13" s="14">
        <v>4300</v>
      </c>
      <c r="H13" s="25" t="s">
        <v>135</v>
      </c>
      <c r="I13" s="11" t="s">
        <v>129</v>
      </c>
      <c r="J13" s="11" t="s">
        <v>42</v>
      </c>
      <c r="K13" s="15">
        <v>10</v>
      </c>
      <c r="L13" s="15"/>
      <c r="M13" s="15" t="e">
        <f>#REF!=L13</f>
        <v>#REF!</v>
      </c>
      <c r="N13" s="15"/>
      <c r="O13" s="15"/>
      <c r="P13" s="16">
        <v>10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>
        <v>17</v>
      </c>
      <c r="AI13" s="17">
        <f>SUM(K13, N13:AB13) - AH13-2</f>
        <v>1</v>
      </c>
      <c r="AJ13" s="2"/>
      <c r="AK13" s="2"/>
      <c r="AL13" s="2"/>
      <c r="AM13" s="2"/>
      <c r="AN13" s="2"/>
      <c r="AO13" s="2"/>
    </row>
    <row r="14" spans="1:41" ht="13.5">
      <c r="A14" s="11">
        <v>40</v>
      </c>
      <c r="B14" s="12" t="s">
        <v>132</v>
      </c>
      <c r="C14" s="11" t="s">
        <v>37</v>
      </c>
      <c r="D14" s="11" t="s">
        <v>106</v>
      </c>
      <c r="E14" s="11" t="s">
        <v>107</v>
      </c>
      <c r="F14" s="11" t="s">
        <v>136</v>
      </c>
      <c r="G14" s="14">
        <v>5900</v>
      </c>
      <c r="H14" s="25" t="s">
        <v>137</v>
      </c>
      <c r="I14" s="11" t="s">
        <v>129</v>
      </c>
      <c r="J14" s="11" t="s">
        <v>42</v>
      </c>
      <c r="K14" s="15">
        <v>10</v>
      </c>
      <c r="L14" s="15"/>
      <c r="M14" s="15" t="e">
        <f>#REF!=L14</f>
        <v>#REF!</v>
      </c>
      <c r="N14" s="15"/>
      <c r="O14" s="15"/>
      <c r="P14" s="16">
        <v>10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>
        <v>9</v>
      </c>
      <c r="AI14" s="17">
        <f>SUM(K14, N14:AB14) - AH14-2</f>
        <v>9</v>
      </c>
      <c r="AJ14" s="2"/>
      <c r="AK14" s="2"/>
      <c r="AL14" s="2"/>
      <c r="AM14" s="2"/>
      <c r="AN14" s="2"/>
      <c r="AO14" s="2"/>
    </row>
    <row r="15" spans="1:41" ht="13.5">
      <c r="A15" s="11">
        <v>41</v>
      </c>
      <c r="B15" s="12" t="s">
        <v>132</v>
      </c>
      <c r="C15" s="11" t="s">
        <v>37</v>
      </c>
      <c r="D15" s="11" t="s">
        <v>106</v>
      </c>
      <c r="E15" s="11" t="s">
        <v>107</v>
      </c>
      <c r="F15" s="11" t="s">
        <v>138</v>
      </c>
      <c r="G15" s="14">
        <v>5900</v>
      </c>
      <c r="H15" s="25" t="s">
        <v>139</v>
      </c>
      <c r="I15" s="11" t="s">
        <v>129</v>
      </c>
      <c r="J15" s="11" t="s">
        <v>42</v>
      </c>
      <c r="K15" s="15">
        <v>10</v>
      </c>
      <c r="L15" s="15"/>
      <c r="M15" s="15" t="e">
        <f>#REF!=L15</f>
        <v>#REF!</v>
      </c>
      <c r="N15" s="15"/>
      <c r="O15" s="15"/>
      <c r="P15" s="16">
        <v>10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>
        <v>11</v>
      </c>
      <c r="AI15" s="17">
        <f>SUM(K15, N15:AB15) - AH15-2</f>
        <v>7</v>
      </c>
      <c r="AJ15" s="2"/>
      <c r="AK15" s="2"/>
      <c r="AL15" s="2"/>
      <c r="AM15" s="2"/>
      <c r="AN15" s="2"/>
      <c r="AO15" s="2"/>
    </row>
    <row r="16" spans="1:41" ht="13.5">
      <c r="A16" s="11">
        <v>42</v>
      </c>
      <c r="B16" s="12" t="s">
        <v>132</v>
      </c>
      <c r="C16" s="11" t="s">
        <v>37</v>
      </c>
      <c r="D16" s="11" t="s">
        <v>106</v>
      </c>
      <c r="E16" s="11" t="s">
        <v>107</v>
      </c>
      <c r="F16" s="11" t="s">
        <v>140</v>
      </c>
      <c r="G16" s="14">
        <v>5900</v>
      </c>
      <c r="H16" s="25" t="s">
        <v>141</v>
      </c>
      <c r="I16" s="11" t="s">
        <v>129</v>
      </c>
      <c r="J16" s="11" t="s">
        <v>42</v>
      </c>
      <c r="K16" s="15">
        <v>5</v>
      </c>
      <c r="L16" s="15"/>
      <c r="M16" s="15" t="e">
        <f>#REF!=L16</f>
        <v>#REF!</v>
      </c>
      <c r="N16" s="15"/>
      <c r="O16" s="15"/>
      <c r="P16" s="16">
        <v>7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>
        <v>8</v>
      </c>
      <c r="AI16" s="17">
        <f>SUM(K16, N16:AB16) - AH16</f>
        <v>4</v>
      </c>
      <c r="AJ16" s="2"/>
      <c r="AK16" s="2"/>
      <c r="AL16" s="2"/>
      <c r="AM16" s="2"/>
      <c r="AN16" s="2"/>
      <c r="AO16" s="2"/>
    </row>
    <row r="17" spans="1:41" ht="13.5">
      <c r="A17" s="11">
        <v>43</v>
      </c>
      <c r="B17" s="12" t="s">
        <v>132</v>
      </c>
      <c r="C17" s="11" t="s">
        <v>37</v>
      </c>
      <c r="D17" s="11" t="s">
        <v>106</v>
      </c>
      <c r="E17" s="11" t="s">
        <v>121</v>
      </c>
      <c r="F17" s="11" t="s">
        <v>142</v>
      </c>
      <c r="G17" s="14">
        <v>4500</v>
      </c>
      <c r="H17" s="25" t="s">
        <v>143</v>
      </c>
      <c r="I17" s="11" t="s">
        <v>129</v>
      </c>
      <c r="J17" s="11" t="s">
        <v>42</v>
      </c>
      <c r="K17" s="15">
        <v>10</v>
      </c>
      <c r="L17" s="15"/>
      <c r="M17" s="15" t="e">
        <f>#REF!=L17</f>
        <v>#REF!</v>
      </c>
      <c r="N17" s="15"/>
      <c r="O17" s="1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>
        <v>11</v>
      </c>
      <c r="AI17" s="17">
        <f>SUM(K17, N17:S17) - AH17</f>
        <v>-1</v>
      </c>
      <c r="AJ17" s="2"/>
      <c r="AK17" s="2"/>
      <c r="AL17" s="2"/>
      <c r="AM17" s="2"/>
      <c r="AN17" s="2"/>
      <c r="AO17" s="2"/>
    </row>
    <row r="18" spans="1:41" ht="13.5">
      <c r="A18" s="11">
        <v>44</v>
      </c>
      <c r="B18" s="12" t="s">
        <v>132</v>
      </c>
      <c r="C18" s="11" t="s">
        <v>37</v>
      </c>
      <c r="D18" s="11" t="s">
        <v>106</v>
      </c>
      <c r="E18" s="11" t="s">
        <v>107</v>
      </c>
      <c r="F18" s="11" t="s">
        <v>144</v>
      </c>
      <c r="G18" s="14">
        <v>16000</v>
      </c>
      <c r="H18" s="25" t="s">
        <v>145</v>
      </c>
      <c r="I18" s="11" t="s">
        <v>129</v>
      </c>
      <c r="J18" s="11" t="s">
        <v>42</v>
      </c>
      <c r="K18" s="15">
        <v>2</v>
      </c>
      <c r="L18" s="15"/>
      <c r="M18" s="15" t="e">
        <f>#REF!=L18</f>
        <v>#REF!</v>
      </c>
      <c r="N18" s="15"/>
      <c r="O18" s="1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>
        <v>2</v>
      </c>
      <c r="AI18" s="17">
        <f>SUM(K18, N18:AB18) - AH18</f>
        <v>0</v>
      </c>
      <c r="AJ18" s="2"/>
      <c r="AK18" s="2"/>
      <c r="AL18" s="2"/>
      <c r="AM18" s="2"/>
      <c r="AN18" s="2"/>
      <c r="AO18" s="2"/>
    </row>
    <row r="19" spans="1:41" ht="13.5">
      <c r="A19" s="11">
        <v>45</v>
      </c>
      <c r="B19" s="12" t="s">
        <v>132</v>
      </c>
      <c r="C19" s="11" t="s">
        <v>37</v>
      </c>
      <c r="D19" s="11" t="s">
        <v>38</v>
      </c>
      <c r="E19" s="11" t="s">
        <v>38</v>
      </c>
      <c r="F19" s="11" t="s">
        <v>146</v>
      </c>
      <c r="G19" s="14">
        <v>40000</v>
      </c>
      <c r="H19" s="25" t="s">
        <v>147</v>
      </c>
      <c r="I19" s="11" t="s">
        <v>129</v>
      </c>
      <c r="J19" s="11" t="s">
        <v>42</v>
      </c>
      <c r="K19" s="15">
        <v>2</v>
      </c>
      <c r="L19" s="15"/>
      <c r="M19" s="15" t="e">
        <f>#REF!=L19</f>
        <v>#REF!</v>
      </c>
      <c r="N19" s="15"/>
      <c r="O19" s="15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7">
        <f>SUM(K19, N19:AB19) - AH19</f>
        <v>2</v>
      </c>
      <c r="AJ19" s="2"/>
      <c r="AK19" s="2"/>
      <c r="AL19" s="2"/>
      <c r="AM19" s="2"/>
      <c r="AN19" s="2"/>
      <c r="AO19" s="2"/>
    </row>
    <row r="20" spans="1:41" ht="13.5">
      <c r="A20" s="11">
        <v>46</v>
      </c>
      <c r="B20" s="12" t="s">
        <v>132</v>
      </c>
      <c r="C20" s="11" t="s">
        <v>37</v>
      </c>
      <c r="D20" s="11" t="s">
        <v>38</v>
      </c>
      <c r="E20" s="11" t="s">
        <v>38</v>
      </c>
      <c r="F20" s="11" t="s">
        <v>148</v>
      </c>
      <c r="G20" s="14">
        <v>38000</v>
      </c>
      <c r="H20" s="25" t="s">
        <v>149</v>
      </c>
      <c r="I20" s="11" t="s">
        <v>129</v>
      </c>
      <c r="J20" s="11" t="s">
        <v>42</v>
      </c>
      <c r="K20" s="15">
        <v>2</v>
      </c>
      <c r="L20" s="15"/>
      <c r="M20" s="15" t="e">
        <f>#REF!=L20</f>
        <v>#REF!</v>
      </c>
      <c r="N20" s="15"/>
      <c r="O20" s="15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7">
        <f>SUM(K20, N20:AB20) - AH20</f>
        <v>2</v>
      </c>
      <c r="AJ20" s="2"/>
      <c r="AK20" s="2"/>
      <c r="AL20" s="2"/>
      <c r="AM20" s="2"/>
      <c r="AN20" s="2"/>
      <c r="AO20" s="2"/>
    </row>
    <row r="21" spans="1:41" ht="13.5">
      <c r="A21" s="11">
        <v>47</v>
      </c>
      <c r="B21" s="12" t="s">
        <v>132</v>
      </c>
      <c r="C21" s="11" t="s">
        <v>37</v>
      </c>
      <c r="D21" s="11" t="s">
        <v>38</v>
      </c>
      <c r="E21" s="11" t="s">
        <v>38</v>
      </c>
      <c r="F21" s="11" t="s">
        <v>150</v>
      </c>
      <c r="G21" s="14">
        <v>38000</v>
      </c>
      <c r="H21" s="25" t="s">
        <v>151</v>
      </c>
      <c r="I21" s="11" t="s">
        <v>129</v>
      </c>
      <c r="J21" s="11" t="s">
        <v>42</v>
      </c>
      <c r="K21" s="15">
        <v>3</v>
      </c>
      <c r="L21" s="15"/>
      <c r="M21" s="15" t="e">
        <f>#REF!=L21</f>
        <v>#REF!</v>
      </c>
      <c r="N21" s="15">
        <v>11</v>
      </c>
      <c r="O21" s="15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>
        <v>7</v>
      </c>
      <c r="AI21" s="17">
        <f>SUM(K21, N21:AB21) - AH21</f>
        <v>7</v>
      </c>
      <c r="AJ21" s="2"/>
      <c r="AK21" s="2"/>
      <c r="AL21" s="2"/>
      <c r="AM21" s="2"/>
      <c r="AN21" s="2"/>
      <c r="AO21" s="2"/>
    </row>
    <row r="22" spans="1:41" ht="13.5">
      <c r="A22" s="11">
        <v>48</v>
      </c>
      <c r="B22" s="12" t="s">
        <v>132</v>
      </c>
      <c r="C22" s="11" t="s">
        <v>37</v>
      </c>
      <c r="D22" s="11" t="s">
        <v>77</v>
      </c>
      <c r="E22" s="11" t="s">
        <v>85</v>
      </c>
      <c r="F22" s="11" t="s">
        <v>85</v>
      </c>
      <c r="G22" s="14">
        <v>27000</v>
      </c>
      <c r="H22" s="25" t="s">
        <v>152</v>
      </c>
      <c r="I22" s="11" t="s">
        <v>129</v>
      </c>
      <c r="J22" s="11" t="s">
        <v>42</v>
      </c>
      <c r="K22" s="15">
        <v>2</v>
      </c>
      <c r="L22" s="15"/>
      <c r="M22" s="15" t="e">
        <f>#REF!=L22</f>
        <v>#REF!</v>
      </c>
      <c r="N22" s="15"/>
      <c r="O22" s="15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7">
        <f>SUM(K22, N22:AB22) - AH22</f>
        <v>2</v>
      </c>
      <c r="AJ22" s="2"/>
      <c r="AK22" s="2"/>
      <c r="AL22" s="2"/>
      <c r="AM22" s="2"/>
      <c r="AN22" s="2"/>
      <c r="AO22" s="2"/>
    </row>
    <row r="23" spans="1:41" ht="13.5">
      <c r="A23" s="11">
        <v>49</v>
      </c>
      <c r="B23" s="12" t="s">
        <v>132</v>
      </c>
      <c r="C23" s="11" t="s">
        <v>37</v>
      </c>
      <c r="D23" s="11" t="s">
        <v>38</v>
      </c>
      <c r="E23" s="11" t="s">
        <v>38</v>
      </c>
      <c r="F23" s="11" t="s">
        <v>153</v>
      </c>
      <c r="G23" s="14">
        <v>59000</v>
      </c>
      <c r="H23" s="25" t="s">
        <v>154</v>
      </c>
      <c r="I23" s="11" t="s">
        <v>129</v>
      </c>
      <c r="J23" s="11" t="s">
        <v>42</v>
      </c>
      <c r="K23" s="15">
        <v>4</v>
      </c>
      <c r="L23" s="15"/>
      <c r="M23" s="15" t="e">
        <f>#REF!=L23</f>
        <v>#REF!</v>
      </c>
      <c r="N23" s="15"/>
      <c r="O23" s="1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7">
        <f>SUM(K23, N23:AB23) - AH23</f>
        <v>4</v>
      </c>
      <c r="AJ23" s="2"/>
      <c r="AK23" s="2"/>
      <c r="AL23" s="2"/>
      <c r="AM23" s="2"/>
      <c r="AN23" s="2"/>
      <c r="AO23" s="2"/>
    </row>
    <row r="24" spans="1:41" ht="13.5">
      <c r="A24" s="11">
        <v>50</v>
      </c>
      <c r="B24" s="12" t="s">
        <v>132</v>
      </c>
      <c r="C24" s="11" t="s">
        <v>37</v>
      </c>
      <c r="D24" s="11" t="s">
        <v>95</v>
      </c>
      <c r="E24" s="11" t="s">
        <v>96</v>
      </c>
      <c r="F24" s="11" t="s">
        <v>96</v>
      </c>
      <c r="G24" s="14">
        <v>3500</v>
      </c>
      <c r="H24" s="25" t="s">
        <v>155</v>
      </c>
      <c r="I24" s="11" t="s">
        <v>129</v>
      </c>
      <c r="J24" s="11" t="s">
        <v>42</v>
      </c>
      <c r="K24" s="15">
        <v>5</v>
      </c>
      <c r="L24" s="15"/>
      <c r="M24" s="15" t="e">
        <f>#REF!=L24</f>
        <v>#REF!</v>
      </c>
      <c r="N24" s="15"/>
      <c r="O24" s="15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>
        <v>4</v>
      </c>
      <c r="AI24" s="17">
        <f>SUM(K24, N24:AB24) - AH24</f>
        <v>1</v>
      </c>
      <c r="AJ24" s="2"/>
      <c r="AK24" s="2"/>
      <c r="AL24" s="2"/>
      <c r="AM24" s="2"/>
      <c r="AN24" s="2"/>
      <c r="AO24" s="2"/>
    </row>
    <row r="25" spans="1:41" ht="13.5">
      <c r="A25" s="11">
        <v>51</v>
      </c>
      <c r="B25" s="12" t="s">
        <v>132</v>
      </c>
      <c r="C25" s="11" t="s">
        <v>37</v>
      </c>
      <c r="D25" s="11" t="s">
        <v>95</v>
      </c>
      <c r="E25" s="11" t="s">
        <v>156</v>
      </c>
      <c r="F25" s="11" t="s">
        <v>157</v>
      </c>
      <c r="G25" s="14">
        <v>15000</v>
      </c>
      <c r="H25" s="25" t="s">
        <v>158</v>
      </c>
      <c r="I25" s="11" t="s">
        <v>129</v>
      </c>
      <c r="J25" s="11" t="s">
        <v>42</v>
      </c>
      <c r="K25" s="15">
        <v>5</v>
      </c>
      <c r="L25" s="15"/>
      <c r="M25" s="15" t="e">
        <f>#REF!=L25</f>
        <v>#REF!</v>
      </c>
      <c r="N25" s="15"/>
      <c r="O25" s="15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>
        <v>1</v>
      </c>
      <c r="AI25" s="17">
        <f>SUM(K25, N25:AB25) - AH25</f>
        <v>4</v>
      </c>
      <c r="AJ25" s="2"/>
      <c r="AK25" s="2"/>
      <c r="AL25" s="2"/>
      <c r="AM25" s="2"/>
      <c r="AN25" s="2"/>
      <c r="AO25" s="2"/>
    </row>
    <row r="26" spans="1:41" ht="13.5">
      <c r="A26" s="11">
        <v>66</v>
      </c>
      <c r="B26" s="12" t="s">
        <v>191</v>
      </c>
      <c r="C26" s="11" t="s">
        <v>37</v>
      </c>
      <c r="D26" s="11" t="s">
        <v>106</v>
      </c>
      <c r="E26" s="11" t="s">
        <v>192</v>
      </c>
      <c r="F26" s="13" t="s">
        <v>193</v>
      </c>
      <c r="G26" s="19">
        <v>8800</v>
      </c>
      <c r="H26" s="25" t="s">
        <v>194</v>
      </c>
      <c r="I26" s="11" t="s">
        <v>129</v>
      </c>
      <c r="J26" s="12" t="s">
        <v>164</v>
      </c>
      <c r="K26" s="15">
        <v>5</v>
      </c>
      <c r="L26" s="15"/>
      <c r="M26" s="15" t="e">
        <f>#REF!=L26</f>
        <v>#REF!</v>
      </c>
      <c r="N26" s="15"/>
      <c r="O26" s="15"/>
      <c r="P26" s="16"/>
      <c r="Q26" s="16"/>
      <c r="R26" s="16"/>
      <c r="S26" s="16">
        <v>5</v>
      </c>
      <c r="T26" s="16"/>
      <c r="U26" s="16"/>
      <c r="V26" s="16"/>
      <c r="W26" s="16">
        <v>5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v>6</v>
      </c>
      <c r="AI26" s="17">
        <f>SUM(K26, N26:AB26) - AH26</f>
        <v>9</v>
      </c>
      <c r="AJ26" s="2"/>
      <c r="AK26" s="2"/>
      <c r="AL26" s="2"/>
      <c r="AM26" s="2"/>
      <c r="AN26" s="2"/>
      <c r="AO26" s="2"/>
    </row>
    <row r="27" spans="1:41" ht="13.5">
      <c r="A27" s="11">
        <v>67</v>
      </c>
      <c r="B27" s="12" t="s">
        <v>191</v>
      </c>
      <c r="C27" s="11" t="s">
        <v>37</v>
      </c>
      <c r="D27" s="11" t="s">
        <v>106</v>
      </c>
      <c r="E27" s="11" t="s">
        <v>192</v>
      </c>
      <c r="F27" s="13" t="s">
        <v>195</v>
      </c>
      <c r="G27" s="19">
        <v>8800</v>
      </c>
      <c r="H27" s="25" t="s">
        <v>196</v>
      </c>
      <c r="I27" s="11" t="s">
        <v>129</v>
      </c>
      <c r="J27" s="12" t="s">
        <v>164</v>
      </c>
      <c r="K27" s="15">
        <v>5</v>
      </c>
      <c r="L27" s="15"/>
      <c r="M27" s="15" t="e">
        <f>#REF!=L27</f>
        <v>#REF!</v>
      </c>
      <c r="N27" s="15"/>
      <c r="O27" s="15"/>
      <c r="P27" s="16"/>
      <c r="Q27" s="16"/>
      <c r="R27" s="16"/>
      <c r="S27" s="16">
        <v>5</v>
      </c>
      <c r="T27" s="16"/>
      <c r="U27" s="16"/>
      <c r="V27" s="16"/>
      <c r="W27" s="16">
        <v>5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>
        <v>7</v>
      </c>
      <c r="AI27" s="17">
        <f>SUM(K27, N27:AB27) - AH27</f>
        <v>8</v>
      </c>
      <c r="AJ27" s="2"/>
      <c r="AK27" s="2"/>
      <c r="AL27" s="2"/>
      <c r="AM27" s="2"/>
      <c r="AN27" s="2"/>
      <c r="AO27" s="2"/>
    </row>
    <row r="28" spans="1:41" ht="13.5">
      <c r="A28" s="11">
        <v>68</v>
      </c>
      <c r="B28" s="12" t="s">
        <v>191</v>
      </c>
      <c r="C28" s="11" t="s">
        <v>37</v>
      </c>
      <c r="D28" s="11" t="s">
        <v>106</v>
      </c>
      <c r="E28" s="11" t="s">
        <v>192</v>
      </c>
      <c r="F28" s="13" t="s">
        <v>197</v>
      </c>
      <c r="G28" s="19">
        <v>8800</v>
      </c>
      <c r="H28" s="25" t="s">
        <v>198</v>
      </c>
      <c r="I28" s="11" t="s">
        <v>129</v>
      </c>
      <c r="J28" s="12" t="s">
        <v>164</v>
      </c>
      <c r="K28" s="15">
        <v>5</v>
      </c>
      <c r="L28" s="15"/>
      <c r="M28" s="15" t="e">
        <f>#REF!=L28</f>
        <v>#REF!</v>
      </c>
      <c r="N28" s="15"/>
      <c r="O28" s="15"/>
      <c r="P28" s="16"/>
      <c r="Q28" s="16"/>
      <c r="R28" s="16"/>
      <c r="S28" s="16">
        <v>5</v>
      </c>
      <c r="T28" s="16"/>
      <c r="U28" s="16"/>
      <c r="V28" s="16"/>
      <c r="W28" s="16">
        <v>5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>
        <v>12</v>
      </c>
      <c r="AI28" s="17">
        <f>SUM(K28, N28:AB28) - AH28</f>
        <v>3</v>
      </c>
      <c r="AJ28" s="2"/>
      <c r="AK28" s="2"/>
      <c r="AL28" s="2"/>
      <c r="AM28" s="2"/>
      <c r="AN28" s="2"/>
      <c r="AO28" s="2"/>
    </row>
    <row r="29" spans="1:41" ht="13.5">
      <c r="A29" s="11">
        <v>69</v>
      </c>
      <c r="B29" s="12" t="s">
        <v>191</v>
      </c>
      <c r="C29" s="11" t="s">
        <v>37</v>
      </c>
      <c r="D29" s="11" t="s">
        <v>106</v>
      </c>
      <c r="E29" s="11" t="s">
        <v>192</v>
      </c>
      <c r="F29" s="13" t="s">
        <v>199</v>
      </c>
      <c r="G29" s="19">
        <v>8800</v>
      </c>
      <c r="H29" s="25" t="s">
        <v>200</v>
      </c>
      <c r="I29" s="11" t="s">
        <v>129</v>
      </c>
      <c r="J29" s="12" t="s">
        <v>164</v>
      </c>
      <c r="K29" s="15">
        <v>5</v>
      </c>
      <c r="L29" s="15"/>
      <c r="M29" s="15" t="e">
        <f>#REF!=L29</f>
        <v>#REF!</v>
      </c>
      <c r="N29" s="15"/>
      <c r="O29" s="15"/>
      <c r="P29" s="16"/>
      <c r="Q29" s="16"/>
      <c r="R29" s="16"/>
      <c r="S29" s="16"/>
      <c r="T29" s="16"/>
      <c r="U29" s="16"/>
      <c r="V29" s="16"/>
      <c r="W29" s="16">
        <v>5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>
        <v>3</v>
      </c>
      <c r="AI29" s="17">
        <f>SUM(K29, N29:AB29) - AH29</f>
        <v>7</v>
      </c>
      <c r="AJ29" s="2"/>
      <c r="AK29" s="2"/>
      <c r="AL29" s="2"/>
      <c r="AM29" s="2"/>
      <c r="AN29" s="2"/>
      <c r="AO29" s="2"/>
    </row>
    <row r="30" spans="1:41" ht="13.5">
      <c r="A30" s="11"/>
      <c r="B30" s="12" t="s">
        <v>191</v>
      </c>
      <c r="C30" s="11" t="s">
        <v>37</v>
      </c>
      <c r="D30" s="11" t="s">
        <v>106</v>
      </c>
      <c r="E30" s="11" t="s">
        <v>192</v>
      </c>
      <c r="F30" s="13" t="s">
        <v>201</v>
      </c>
      <c r="G30" s="19">
        <v>8800</v>
      </c>
      <c r="H30" s="25" t="s">
        <v>202</v>
      </c>
      <c r="I30" s="11" t="s">
        <v>129</v>
      </c>
      <c r="J30" s="12" t="s">
        <v>164</v>
      </c>
      <c r="K30" s="15"/>
      <c r="L30" s="15"/>
      <c r="M30" s="15"/>
      <c r="N30" s="15"/>
      <c r="O30" s="1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>
        <v>10</v>
      </c>
      <c r="AB30" s="16"/>
      <c r="AC30" s="16"/>
      <c r="AD30" s="16"/>
      <c r="AE30" s="16"/>
      <c r="AF30" s="16"/>
      <c r="AG30" s="16"/>
      <c r="AH30" s="16"/>
      <c r="AI30" s="17">
        <f>SUM(K30, N30:AB30) - AH30</f>
        <v>10</v>
      </c>
      <c r="AJ30" s="2"/>
      <c r="AK30" s="2"/>
      <c r="AL30" s="2"/>
      <c r="AM30" s="2"/>
      <c r="AN30" s="2"/>
      <c r="AO30" s="2"/>
    </row>
    <row r="31" spans="1:41" ht="13.5">
      <c r="A31" s="11"/>
      <c r="B31" s="12" t="s">
        <v>191</v>
      </c>
      <c r="C31" s="11" t="s">
        <v>37</v>
      </c>
      <c r="D31" s="11" t="s">
        <v>106</v>
      </c>
      <c r="E31" s="11" t="s">
        <v>192</v>
      </c>
      <c r="F31" s="13" t="s">
        <v>203</v>
      </c>
      <c r="G31" s="19">
        <v>8800</v>
      </c>
      <c r="H31" s="25" t="s">
        <v>204</v>
      </c>
      <c r="I31" s="11" t="s">
        <v>129</v>
      </c>
      <c r="J31" s="12" t="s">
        <v>164</v>
      </c>
      <c r="K31" s="15"/>
      <c r="L31" s="15"/>
      <c r="M31" s="15"/>
      <c r="N31" s="15"/>
      <c r="O31" s="15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>
        <v>10</v>
      </c>
      <c r="AB31" s="16"/>
      <c r="AC31" s="16"/>
      <c r="AD31" s="16"/>
      <c r="AE31" s="16"/>
      <c r="AF31" s="16"/>
      <c r="AG31" s="16"/>
      <c r="AH31" s="16"/>
      <c r="AI31" s="17">
        <f>SUM(K31, N31:AB31) - AH31</f>
        <v>10</v>
      </c>
      <c r="AJ31" s="2"/>
      <c r="AK31" s="2"/>
      <c r="AL31" s="2"/>
      <c r="AM31" s="2"/>
      <c r="AN31" s="2"/>
      <c r="AO31" s="2"/>
    </row>
    <row r="32" spans="1:41" ht="13.5">
      <c r="A32" s="11"/>
      <c r="B32" s="12" t="s">
        <v>191</v>
      </c>
      <c r="C32" s="11" t="s">
        <v>37</v>
      </c>
      <c r="D32" s="11" t="s">
        <v>106</v>
      </c>
      <c r="E32" s="11" t="s">
        <v>192</v>
      </c>
      <c r="F32" s="13" t="s">
        <v>205</v>
      </c>
      <c r="G32" s="19">
        <v>8800</v>
      </c>
      <c r="H32" s="25" t="s">
        <v>206</v>
      </c>
      <c r="I32" s="11" t="s">
        <v>129</v>
      </c>
      <c r="J32" s="12" t="s">
        <v>164</v>
      </c>
      <c r="K32" s="15"/>
      <c r="L32" s="15"/>
      <c r="M32" s="15"/>
      <c r="N32" s="15"/>
      <c r="O32" s="15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>
        <v>5</v>
      </c>
      <c r="AB32" s="16"/>
      <c r="AC32" s="16"/>
      <c r="AD32" s="16"/>
      <c r="AE32" s="16"/>
      <c r="AF32" s="16"/>
      <c r="AG32" s="16"/>
      <c r="AH32" s="16"/>
      <c r="AI32" s="17">
        <f>SUM(K32, N32:AB32) - AH32</f>
        <v>5</v>
      </c>
      <c r="AJ32" s="2"/>
      <c r="AK32" s="2"/>
      <c r="AL32" s="2"/>
      <c r="AM32" s="2"/>
      <c r="AN32" s="2"/>
      <c r="AO32" s="2"/>
    </row>
    <row r="33" spans="1:41" ht="13.5">
      <c r="A33" s="11">
        <v>142</v>
      </c>
      <c r="B33" s="12" t="s">
        <v>383</v>
      </c>
      <c r="C33" s="11" t="s">
        <v>160</v>
      </c>
      <c r="D33" s="11" t="s">
        <v>246</v>
      </c>
      <c r="E33" s="11" t="s">
        <v>292</v>
      </c>
      <c r="F33" s="24" t="s">
        <v>388</v>
      </c>
      <c r="G33" s="19">
        <v>5000</v>
      </c>
      <c r="H33" s="25" t="s">
        <v>389</v>
      </c>
      <c r="I33" s="11" t="s">
        <v>41</v>
      </c>
      <c r="J33" s="11" t="s">
        <v>42</v>
      </c>
      <c r="K33" s="15">
        <v>20</v>
      </c>
      <c r="L33" s="15">
        <v>20</v>
      </c>
      <c r="M33" s="15" t="e">
        <f>#REF!=L33</f>
        <v>#REF!</v>
      </c>
      <c r="N33" s="15"/>
      <c r="O33" s="15"/>
      <c r="P33" s="16"/>
      <c r="Q33" s="16"/>
      <c r="R33" s="16"/>
      <c r="S33" s="16"/>
      <c r="T33" s="37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7">
        <f>SUM(K33, N33:AB33) - AH33</f>
        <v>20</v>
      </c>
      <c r="AJ33" s="2"/>
      <c r="AK33" s="2"/>
      <c r="AL33" s="2"/>
      <c r="AM33" s="2"/>
      <c r="AN33" s="2"/>
      <c r="AO33" s="2"/>
    </row>
    <row r="34" spans="1:41" ht="13.5">
      <c r="A34" s="11">
        <v>237</v>
      </c>
      <c r="B34" s="12" t="s">
        <v>596</v>
      </c>
      <c r="C34" s="11" t="s">
        <v>574</v>
      </c>
      <c r="D34" s="11" t="s">
        <v>106</v>
      </c>
      <c r="E34" s="11" t="s">
        <v>606</v>
      </c>
      <c r="F34" s="27" t="s">
        <v>607</v>
      </c>
      <c r="G34" s="26">
        <v>4500</v>
      </c>
      <c r="H34" s="25" t="s">
        <v>608</v>
      </c>
      <c r="I34" s="11" t="s">
        <v>41</v>
      </c>
      <c r="J34" s="11" t="s">
        <v>42</v>
      </c>
      <c r="K34" s="15">
        <v>5</v>
      </c>
      <c r="L34" s="15">
        <v>5</v>
      </c>
      <c r="M34" s="15" t="e">
        <f>#REF!=L34</f>
        <v>#REF!</v>
      </c>
      <c r="N34" s="15"/>
      <c r="O34" s="15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>
        <v>3</v>
      </c>
      <c r="AI34" s="17">
        <f>SUM(K34, N34:AB34) - AH34</f>
        <v>2</v>
      </c>
      <c r="AJ34" s="2"/>
      <c r="AK34" s="2"/>
      <c r="AL34" s="2"/>
      <c r="AM34" s="2"/>
      <c r="AN34" s="2"/>
      <c r="AO34" s="2"/>
    </row>
    <row r="35" spans="1:41" ht="13.5">
      <c r="A35" s="11">
        <v>165</v>
      </c>
      <c r="B35" s="12" t="s">
        <v>444</v>
      </c>
      <c r="C35" s="11" t="s">
        <v>160</v>
      </c>
      <c r="D35" s="11" t="s">
        <v>77</v>
      </c>
      <c r="E35" s="11" t="s">
        <v>78</v>
      </c>
      <c r="F35" s="13" t="s">
        <v>445</v>
      </c>
      <c r="G35" s="19">
        <v>33000</v>
      </c>
      <c r="H35" s="25" t="s">
        <v>446</v>
      </c>
      <c r="I35" s="11" t="s">
        <v>41</v>
      </c>
      <c r="J35" s="12" t="s">
        <v>164</v>
      </c>
      <c r="K35" s="15">
        <v>2</v>
      </c>
      <c r="L35" s="15">
        <v>2</v>
      </c>
      <c r="M35" s="15" t="e">
        <f>#REF!=L35</f>
        <v>#REF!</v>
      </c>
      <c r="N35" s="15"/>
      <c r="O35" s="15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7">
        <f>SUM(K35, N35:AB35) - AH35</f>
        <v>2</v>
      </c>
      <c r="AJ35" s="2"/>
      <c r="AK35" s="2"/>
      <c r="AL35" s="2"/>
      <c r="AM35" s="2"/>
      <c r="AN35" s="2"/>
      <c r="AO35" s="2"/>
    </row>
    <row r="36" spans="1:41" ht="13.5">
      <c r="A36" s="11">
        <v>166</v>
      </c>
      <c r="B36" s="12" t="s">
        <v>444</v>
      </c>
      <c r="C36" s="11" t="s">
        <v>160</v>
      </c>
      <c r="D36" s="11" t="s">
        <v>77</v>
      </c>
      <c r="E36" s="11" t="s">
        <v>78</v>
      </c>
      <c r="F36" s="13" t="s">
        <v>447</v>
      </c>
      <c r="G36" s="19">
        <v>33000</v>
      </c>
      <c r="H36" s="25" t="s">
        <v>448</v>
      </c>
      <c r="I36" s="11" t="s">
        <v>41</v>
      </c>
      <c r="J36" s="12" t="s">
        <v>164</v>
      </c>
      <c r="K36" s="15">
        <v>3</v>
      </c>
      <c r="L36" s="15">
        <v>3</v>
      </c>
      <c r="M36" s="15" t="e">
        <f>#REF!=L36</f>
        <v>#REF!</v>
      </c>
      <c r="N36" s="15"/>
      <c r="O36" s="15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7">
        <f>SUM(K36, N36:AB36) - AH36</f>
        <v>3</v>
      </c>
      <c r="AJ36" s="2"/>
      <c r="AK36" s="2"/>
      <c r="AL36" s="2"/>
      <c r="AM36" s="2"/>
      <c r="AN36" s="2"/>
      <c r="AO36" s="2"/>
    </row>
    <row r="37" spans="1:41" ht="13.5">
      <c r="A37" s="11">
        <v>167</v>
      </c>
      <c r="B37" s="12" t="s">
        <v>444</v>
      </c>
      <c r="C37" s="11" t="s">
        <v>160</v>
      </c>
      <c r="D37" s="11" t="s">
        <v>38</v>
      </c>
      <c r="E37" s="11" t="s">
        <v>38</v>
      </c>
      <c r="F37" s="13" t="s">
        <v>449</v>
      </c>
      <c r="G37" s="20">
        <v>40000</v>
      </c>
      <c r="H37" s="25" t="s">
        <v>450</v>
      </c>
      <c r="I37" s="11" t="s">
        <v>41</v>
      </c>
      <c r="J37" s="12" t="s">
        <v>164</v>
      </c>
      <c r="K37" s="15">
        <v>2</v>
      </c>
      <c r="L37" s="15">
        <v>2</v>
      </c>
      <c r="M37" s="15" t="e">
        <f>#REF!=L37</f>
        <v>#REF!</v>
      </c>
      <c r="N37" s="15"/>
      <c r="O37" s="15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7">
        <f>SUM(K37, N37:AB37) - AH37</f>
        <v>2</v>
      </c>
      <c r="AJ37" s="2"/>
      <c r="AK37" s="2"/>
      <c r="AL37" s="2"/>
      <c r="AM37" s="2"/>
      <c r="AN37" s="2"/>
      <c r="AO37" s="2"/>
    </row>
    <row r="38" spans="1:41" ht="13.5">
      <c r="A38" s="11">
        <v>168</v>
      </c>
      <c r="B38" s="12" t="s">
        <v>444</v>
      </c>
      <c r="C38" s="11" t="s">
        <v>160</v>
      </c>
      <c r="D38" s="11" t="s">
        <v>38</v>
      </c>
      <c r="E38" s="11" t="s">
        <v>38</v>
      </c>
      <c r="F38" s="13" t="s">
        <v>451</v>
      </c>
      <c r="G38" s="20">
        <v>40000</v>
      </c>
      <c r="H38" s="25" t="s">
        <v>452</v>
      </c>
      <c r="I38" s="11" t="s">
        <v>41</v>
      </c>
      <c r="J38" s="12" t="s">
        <v>164</v>
      </c>
      <c r="K38" s="15">
        <v>2</v>
      </c>
      <c r="L38" s="15">
        <v>2</v>
      </c>
      <c r="M38" s="15" t="e">
        <f>#REF!=L38</f>
        <v>#REF!</v>
      </c>
      <c r="N38" s="15"/>
      <c r="O38" s="15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>
        <f>SUM(K38, N38:AB38) - AH38</f>
        <v>2</v>
      </c>
      <c r="AJ38" s="2"/>
      <c r="AK38" s="2"/>
      <c r="AL38" s="2"/>
      <c r="AM38" s="2"/>
      <c r="AN38" s="2"/>
      <c r="AO38" s="2"/>
    </row>
    <row r="39" spans="1:41" ht="13.5">
      <c r="A39" s="11">
        <v>136</v>
      </c>
      <c r="B39" s="12" t="s">
        <v>370</v>
      </c>
      <c r="C39" s="11" t="s">
        <v>160</v>
      </c>
      <c r="D39" s="11" t="s">
        <v>95</v>
      </c>
      <c r="E39" s="11" t="s">
        <v>208</v>
      </c>
      <c r="F39" s="22" t="s">
        <v>375</v>
      </c>
      <c r="G39" s="19">
        <v>5000</v>
      </c>
      <c r="H39" s="25" t="s">
        <v>376</v>
      </c>
      <c r="I39" s="11" t="s">
        <v>41</v>
      </c>
      <c r="J39" s="12" t="s">
        <v>164</v>
      </c>
      <c r="K39" s="15">
        <v>5</v>
      </c>
      <c r="L39" s="15">
        <v>5</v>
      </c>
      <c r="M39" s="15" t="e">
        <f>#REF!=L39</f>
        <v>#REF!</v>
      </c>
      <c r="N39" s="15"/>
      <c r="O39" s="15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>
        <v>1</v>
      </c>
      <c r="AI39" s="17">
        <f>SUM(K39, N39:AB39) - AH39</f>
        <v>4</v>
      </c>
      <c r="AJ39" s="2"/>
      <c r="AK39" s="2"/>
      <c r="AL39" s="2"/>
      <c r="AM39" s="2"/>
      <c r="AN39" s="2"/>
      <c r="AO39" s="2"/>
    </row>
    <row r="40" spans="1:41" ht="13.5">
      <c r="A40" s="11">
        <v>134</v>
      </c>
      <c r="B40" s="12" t="s">
        <v>370</v>
      </c>
      <c r="C40" s="11" t="s">
        <v>160</v>
      </c>
      <c r="D40" s="11" t="s">
        <v>246</v>
      </c>
      <c r="E40" s="11" t="s">
        <v>303</v>
      </c>
      <c r="F40" s="22" t="s">
        <v>371</v>
      </c>
      <c r="G40" s="19">
        <v>1000</v>
      </c>
      <c r="H40" s="25" t="s">
        <v>372</v>
      </c>
      <c r="I40" s="11" t="s">
        <v>41</v>
      </c>
      <c r="J40" s="12" t="s">
        <v>164</v>
      </c>
      <c r="K40" s="15">
        <v>20</v>
      </c>
      <c r="L40" s="15">
        <v>20</v>
      </c>
      <c r="M40" s="15" t="e">
        <f>#REF!=L40</f>
        <v>#REF!</v>
      </c>
      <c r="N40" s="15"/>
      <c r="O40" s="15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>
        <v>12</v>
      </c>
      <c r="AI40" s="17">
        <f>SUM(K40, N40:AB40) - AH40</f>
        <v>8</v>
      </c>
      <c r="AJ40" s="2"/>
      <c r="AK40" s="2"/>
      <c r="AL40" s="2"/>
      <c r="AM40" s="2"/>
      <c r="AN40" s="2"/>
      <c r="AO40" s="2"/>
    </row>
    <row r="41" spans="1:41" ht="13.5">
      <c r="A41" s="11">
        <v>139</v>
      </c>
      <c r="B41" s="12" t="s">
        <v>370</v>
      </c>
      <c r="C41" s="11" t="s">
        <v>160</v>
      </c>
      <c r="D41" s="11" t="s">
        <v>246</v>
      </c>
      <c r="E41" s="11" t="s">
        <v>300</v>
      </c>
      <c r="F41" s="22" t="s">
        <v>381</v>
      </c>
      <c r="G41" s="19">
        <v>2000</v>
      </c>
      <c r="H41" s="25" t="s">
        <v>382</v>
      </c>
      <c r="I41" s="11" t="s">
        <v>41</v>
      </c>
      <c r="J41" s="12" t="s">
        <v>164</v>
      </c>
      <c r="K41" s="15">
        <v>20</v>
      </c>
      <c r="L41" s="15">
        <v>20</v>
      </c>
      <c r="M41" s="15" t="e">
        <f>#REF!=L41</f>
        <v>#REF!</v>
      </c>
      <c r="N41" s="15"/>
      <c r="O41" s="15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>
        <v>4</v>
      </c>
      <c r="AI41" s="17">
        <f>SUM(K41, N41:AB41) - AH41</f>
        <v>16</v>
      </c>
      <c r="AJ41" s="2"/>
      <c r="AK41" s="2"/>
      <c r="AL41" s="2"/>
      <c r="AM41" s="2"/>
      <c r="AN41" s="2"/>
      <c r="AO41" s="2"/>
    </row>
    <row r="42" spans="1:41" ht="13.5">
      <c r="A42" s="11">
        <v>137</v>
      </c>
      <c r="B42" s="12" t="s">
        <v>370</v>
      </c>
      <c r="C42" s="11" t="s">
        <v>160</v>
      </c>
      <c r="D42" s="11" t="s">
        <v>99</v>
      </c>
      <c r="E42" s="11" t="s">
        <v>224</v>
      </c>
      <c r="F42" s="22" t="s">
        <v>377</v>
      </c>
      <c r="G42" s="19">
        <v>6000</v>
      </c>
      <c r="H42" s="25" t="s">
        <v>378</v>
      </c>
      <c r="I42" s="11" t="s">
        <v>41</v>
      </c>
      <c r="J42" s="12" t="s">
        <v>164</v>
      </c>
      <c r="K42" s="15">
        <v>10</v>
      </c>
      <c r="L42" s="15">
        <v>10</v>
      </c>
      <c r="M42" s="15" t="e">
        <f>#REF!=L42</f>
        <v>#REF!</v>
      </c>
      <c r="N42" s="15"/>
      <c r="O42" s="15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>
        <v>1</v>
      </c>
      <c r="AI42" s="17">
        <f>SUM(K42, N42:AB42) - AH42</f>
        <v>9</v>
      </c>
      <c r="AJ42" s="2"/>
      <c r="AK42" s="2"/>
      <c r="AL42" s="2"/>
      <c r="AM42" s="2"/>
      <c r="AN42" s="2"/>
      <c r="AO42" s="2"/>
    </row>
    <row r="43" spans="1:41" ht="13.5">
      <c r="A43" s="11">
        <v>252</v>
      </c>
      <c r="B43" s="30" t="s">
        <v>633</v>
      </c>
      <c r="C43" s="11" t="s">
        <v>634</v>
      </c>
      <c r="D43" s="19" t="s">
        <v>99</v>
      </c>
      <c r="E43" s="19" t="s">
        <v>100</v>
      </c>
      <c r="F43" s="19" t="s">
        <v>643</v>
      </c>
      <c r="G43" s="19">
        <v>5000</v>
      </c>
      <c r="H43" s="25" t="s">
        <v>644</v>
      </c>
      <c r="I43" s="11" t="s">
        <v>41</v>
      </c>
      <c r="J43" s="12"/>
      <c r="K43" s="15">
        <v>20</v>
      </c>
      <c r="L43" s="15"/>
      <c r="M43" s="15" t="e">
        <f>#REF!=L43</f>
        <v>#REF!</v>
      </c>
      <c r="N43" s="15"/>
      <c r="O43" s="15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>
        <v>1</v>
      </c>
      <c r="AI43" s="17">
        <f>SUM(K43, N43:AB43) - AH43</f>
        <v>19</v>
      </c>
      <c r="AJ43" s="2"/>
      <c r="AK43" s="2"/>
      <c r="AL43" s="2"/>
      <c r="AM43" s="2"/>
      <c r="AN43" s="2"/>
      <c r="AO43" s="2"/>
    </row>
    <row r="44" spans="1:41" ht="13.5">
      <c r="A44" s="11">
        <v>256</v>
      </c>
      <c r="B44" s="30" t="s">
        <v>633</v>
      </c>
      <c r="C44" s="11" t="s">
        <v>634</v>
      </c>
      <c r="D44" s="19" t="s">
        <v>99</v>
      </c>
      <c r="E44" s="19" t="s">
        <v>100</v>
      </c>
      <c r="F44" s="11" t="s">
        <v>651</v>
      </c>
      <c r="G44" s="19">
        <v>5000</v>
      </c>
      <c r="H44" s="25" t="s">
        <v>652</v>
      </c>
      <c r="I44" s="11" t="s">
        <v>41</v>
      </c>
      <c r="J44" s="12"/>
      <c r="K44" s="15">
        <v>20</v>
      </c>
      <c r="L44" s="15"/>
      <c r="M44" s="15" t="e">
        <f>#REF!=L44</f>
        <v>#REF!</v>
      </c>
      <c r="N44" s="15"/>
      <c r="O44" s="15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7">
        <f>SUM(K44, N44:AB44) - AH44</f>
        <v>20</v>
      </c>
      <c r="AJ44" s="2"/>
      <c r="AK44" s="2"/>
      <c r="AL44" s="2"/>
      <c r="AM44" s="2"/>
      <c r="AN44" s="2"/>
      <c r="AO44" s="2"/>
    </row>
    <row r="45" spans="1:41" ht="13.5">
      <c r="A45" s="11">
        <v>257</v>
      </c>
      <c r="B45" s="30" t="s">
        <v>633</v>
      </c>
      <c r="C45" s="11" t="s">
        <v>634</v>
      </c>
      <c r="D45" s="19" t="s">
        <v>99</v>
      </c>
      <c r="E45" s="19" t="s">
        <v>100</v>
      </c>
      <c r="F45" s="11" t="s">
        <v>653</v>
      </c>
      <c r="G45" s="19">
        <v>5000</v>
      </c>
      <c r="H45" s="25" t="s">
        <v>654</v>
      </c>
      <c r="I45" s="11" t="s">
        <v>41</v>
      </c>
      <c r="J45" s="12"/>
      <c r="K45" s="15">
        <v>20</v>
      </c>
      <c r="L45" s="15"/>
      <c r="M45" s="15" t="e">
        <f>#REF!=L45</f>
        <v>#REF!</v>
      </c>
      <c r="N45" s="15"/>
      <c r="O45" s="15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>
        <v>1</v>
      </c>
      <c r="AI45" s="17">
        <f>SUM(K45, N45:AB45) - AH45</f>
        <v>19</v>
      </c>
      <c r="AJ45" s="2"/>
      <c r="AK45" s="2"/>
      <c r="AL45" s="2"/>
      <c r="AM45" s="2"/>
      <c r="AN45" s="2"/>
      <c r="AO45" s="2"/>
    </row>
    <row r="46" spans="1:41" ht="13.5">
      <c r="A46" s="11">
        <v>255</v>
      </c>
      <c r="B46" s="30" t="s">
        <v>633</v>
      </c>
      <c r="C46" s="11" t="s">
        <v>634</v>
      </c>
      <c r="D46" s="19" t="s">
        <v>99</v>
      </c>
      <c r="E46" s="19" t="s">
        <v>100</v>
      </c>
      <c r="F46" s="11" t="s">
        <v>649</v>
      </c>
      <c r="G46" s="19">
        <v>5000</v>
      </c>
      <c r="H46" s="25" t="s">
        <v>650</v>
      </c>
      <c r="I46" s="11" t="s">
        <v>41</v>
      </c>
      <c r="J46" s="12"/>
      <c r="K46" s="15">
        <v>20</v>
      </c>
      <c r="L46" s="15"/>
      <c r="M46" s="15" t="e">
        <f>#REF!=L46</f>
        <v>#REF!</v>
      </c>
      <c r="N46" s="15"/>
      <c r="O46" s="15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>
        <v>1</v>
      </c>
      <c r="AI46" s="17">
        <f>SUM(K46, N46:AB46) - AH46</f>
        <v>19</v>
      </c>
      <c r="AJ46" s="2"/>
      <c r="AK46" s="2"/>
      <c r="AL46" s="2"/>
      <c r="AM46" s="2"/>
      <c r="AN46" s="2"/>
      <c r="AO46" s="2"/>
    </row>
    <row r="47" spans="1:41" ht="13.5">
      <c r="A47" s="11">
        <v>254</v>
      </c>
      <c r="B47" s="30" t="s">
        <v>633</v>
      </c>
      <c r="C47" s="11" t="s">
        <v>634</v>
      </c>
      <c r="D47" s="19" t="s">
        <v>99</v>
      </c>
      <c r="E47" s="19" t="s">
        <v>100</v>
      </c>
      <c r="F47" s="11" t="s">
        <v>647</v>
      </c>
      <c r="G47" s="19">
        <v>5000</v>
      </c>
      <c r="H47" s="25" t="s">
        <v>648</v>
      </c>
      <c r="I47" s="11" t="s">
        <v>41</v>
      </c>
      <c r="J47" s="12"/>
      <c r="K47" s="15">
        <v>20</v>
      </c>
      <c r="L47" s="15"/>
      <c r="M47" s="15" t="e">
        <f>#REF!=L47</f>
        <v>#REF!</v>
      </c>
      <c r="N47" s="15"/>
      <c r="O47" s="15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>
        <v>1</v>
      </c>
      <c r="AI47" s="17">
        <f>SUM(K47, N47:AB47) - AH47</f>
        <v>19</v>
      </c>
      <c r="AJ47" s="2"/>
      <c r="AK47" s="2"/>
      <c r="AL47" s="2"/>
      <c r="AM47" s="2"/>
      <c r="AN47" s="2"/>
      <c r="AO47" s="2"/>
    </row>
    <row r="48" spans="1:41" ht="13.5">
      <c r="A48" s="11">
        <v>249</v>
      </c>
      <c r="B48" s="30" t="s">
        <v>633</v>
      </c>
      <c r="C48" s="11" t="s">
        <v>634</v>
      </c>
      <c r="D48" s="19" t="s">
        <v>99</v>
      </c>
      <c r="E48" s="19" t="s">
        <v>100</v>
      </c>
      <c r="F48" s="11" t="s">
        <v>637</v>
      </c>
      <c r="G48" s="19">
        <v>5000</v>
      </c>
      <c r="H48" s="25" t="s">
        <v>638</v>
      </c>
      <c r="I48" s="11" t="s">
        <v>41</v>
      </c>
      <c r="J48" s="12"/>
      <c r="K48" s="15">
        <v>20</v>
      </c>
      <c r="L48" s="15"/>
      <c r="M48" s="15" t="e">
        <f>#REF!=L48</f>
        <v>#REF!</v>
      </c>
      <c r="N48" s="15"/>
      <c r="O48" s="15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7">
        <f>SUM(K48, N48:AB48) - AH48</f>
        <v>20</v>
      </c>
      <c r="AJ48" s="2"/>
      <c r="AK48" s="2"/>
      <c r="AL48" s="2"/>
      <c r="AM48" s="2"/>
      <c r="AN48" s="2"/>
      <c r="AO48" s="2"/>
    </row>
    <row r="49" spans="1:41" ht="13.5">
      <c r="A49" s="11">
        <v>253</v>
      </c>
      <c r="B49" s="30" t="s">
        <v>633</v>
      </c>
      <c r="C49" s="11" t="s">
        <v>634</v>
      </c>
      <c r="D49" s="19" t="s">
        <v>99</v>
      </c>
      <c r="E49" s="19" t="s">
        <v>100</v>
      </c>
      <c r="F49" s="11" t="s">
        <v>645</v>
      </c>
      <c r="G49" s="19">
        <v>5000</v>
      </c>
      <c r="H49" s="25" t="s">
        <v>646</v>
      </c>
      <c r="I49" s="11" t="s">
        <v>41</v>
      </c>
      <c r="J49" s="12"/>
      <c r="K49" s="15">
        <v>20</v>
      </c>
      <c r="L49" s="15"/>
      <c r="M49" s="15" t="e">
        <f>#REF!=L49</f>
        <v>#REF!</v>
      </c>
      <c r="N49" s="15"/>
      <c r="O49" s="15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7">
        <f>SUM(K49, N49:AB49) - AH49</f>
        <v>20</v>
      </c>
      <c r="AJ49" s="2"/>
      <c r="AK49" s="2"/>
      <c r="AL49" s="2"/>
      <c r="AM49" s="2"/>
      <c r="AN49" s="2"/>
      <c r="AO49" s="2"/>
    </row>
    <row r="50" spans="1:41" ht="13.5">
      <c r="A50" s="11">
        <v>251</v>
      </c>
      <c r="B50" s="30" t="s">
        <v>633</v>
      </c>
      <c r="C50" s="11" t="s">
        <v>634</v>
      </c>
      <c r="D50" s="19" t="s">
        <v>99</v>
      </c>
      <c r="E50" s="19" t="s">
        <v>100</v>
      </c>
      <c r="F50" s="11" t="s">
        <v>641</v>
      </c>
      <c r="G50" s="19">
        <v>5000</v>
      </c>
      <c r="H50" s="25" t="s">
        <v>642</v>
      </c>
      <c r="I50" s="11" t="s">
        <v>41</v>
      </c>
      <c r="J50" s="12"/>
      <c r="K50" s="15">
        <v>20</v>
      </c>
      <c r="L50" s="15"/>
      <c r="M50" s="15" t="e">
        <f>#REF!=L50</f>
        <v>#REF!</v>
      </c>
      <c r="N50" s="15"/>
      <c r="O50" s="15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7">
        <f>SUM(K50, N50:AB50) - AH50</f>
        <v>20</v>
      </c>
      <c r="AJ50" s="2"/>
      <c r="AK50" s="2"/>
      <c r="AL50" s="2"/>
      <c r="AM50" s="2"/>
      <c r="AN50" s="2"/>
      <c r="AO50" s="2"/>
    </row>
    <row r="51" spans="1:41" ht="13.5">
      <c r="A51" s="11">
        <v>248</v>
      </c>
      <c r="B51" s="30" t="s">
        <v>633</v>
      </c>
      <c r="C51" s="11" t="s">
        <v>634</v>
      </c>
      <c r="D51" s="19" t="s">
        <v>99</v>
      </c>
      <c r="E51" s="19" t="s">
        <v>100</v>
      </c>
      <c r="F51" s="11" t="s">
        <v>635</v>
      </c>
      <c r="G51" s="19">
        <v>5000</v>
      </c>
      <c r="H51" s="25" t="s">
        <v>636</v>
      </c>
      <c r="I51" s="11" t="s">
        <v>41</v>
      </c>
      <c r="J51" s="12"/>
      <c r="K51" s="15">
        <v>20</v>
      </c>
      <c r="L51" s="15"/>
      <c r="M51" s="15" t="e">
        <f>#REF!=L51</f>
        <v>#REF!</v>
      </c>
      <c r="N51" s="15"/>
      <c r="O51" s="15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7">
        <f>SUM(K51, N51:AB51) - AH51</f>
        <v>20</v>
      </c>
      <c r="AJ51" s="2"/>
      <c r="AK51" s="2"/>
      <c r="AL51" s="2"/>
      <c r="AM51" s="2"/>
      <c r="AN51" s="2"/>
      <c r="AO51" s="2"/>
    </row>
    <row r="52" spans="1:41" ht="13.5">
      <c r="A52" s="11">
        <v>250</v>
      </c>
      <c r="B52" s="30" t="s">
        <v>633</v>
      </c>
      <c r="C52" s="11" t="s">
        <v>634</v>
      </c>
      <c r="D52" s="19" t="s">
        <v>99</v>
      </c>
      <c r="E52" s="19" t="s">
        <v>100</v>
      </c>
      <c r="F52" s="11" t="s">
        <v>639</v>
      </c>
      <c r="G52" s="19">
        <v>5000</v>
      </c>
      <c r="H52" s="25" t="s">
        <v>640</v>
      </c>
      <c r="I52" s="11" t="s">
        <v>41</v>
      </c>
      <c r="J52" s="12"/>
      <c r="K52" s="15">
        <v>20</v>
      </c>
      <c r="L52" s="15"/>
      <c r="M52" s="15" t="e">
        <f>#REF!=L52</f>
        <v>#REF!</v>
      </c>
      <c r="N52" s="15"/>
      <c r="O52" s="15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7">
        <f>SUM(K52, N52:AB52) - AH52</f>
        <v>20</v>
      </c>
      <c r="AJ52" s="2"/>
      <c r="AK52" s="2"/>
      <c r="AL52" s="2"/>
      <c r="AM52" s="2"/>
      <c r="AN52" s="2"/>
      <c r="AO52" s="2"/>
    </row>
    <row r="53" spans="1:41" ht="13.5">
      <c r="A53" s="11">
        <v>259</v>
      </c>
      <c r="B53" s="30" t="s">
        <v>633</v>
      </c>
      <c r="C53" s="11" t="s">
        <v>634</v>
      </c>
      <c r="D53" s="19" t="s">
        <v>95</v>
      </c>
      <c r="E53" s="19" t="s">
        <v>208</v>
      </c>
      <c r="F53" s="11" t="s">
        <v>657</v>
      </c>
      <c r="G53" s="19">
        <v>10000</v>
      </c>
      <c r="H53" s="25" t="s">
        <v>658</v>
      </c>
      <c r="I53" s="11" t="s">
        <v>41</v>
      </c>
      <c r="J53" s="12"/>
      <c r="K53" s="15">
        <v>100</v>
      </c>
      <c r="L53" s="15"/>
      <c r="M53" s="15" t="e">
        <f>#REF!=L53</f>
        <v>#REF!</v>
      </c>
      <c r="N53" s="15"/>
      <c r="O53" s="15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>
        <v>6</v>
      </c>
      <c r="AI53" s="17">
        <f>SUM(K53, N53:AB53) - AH53</f>
        <v>94</v>
      </c>
      <c r="AJ53" s="2"/>
      <c r="AK53" s="2"/>
      <c r="AL53" s="2"/>
      <c r="AM53" s="2"/>
      <c r="AN53" s="2"/>
      <c r="AO53" s="2"/>
    </row>
    <row r="54" spans="1:41" ht="13.5">
      <c r="A54" s="11">
        <v>258</v>
      </c>
      <c r="B54" s="30" t="s">
        <v>633</v>
      </c>
      <c r="C54" s="11" t="s">
        <v>634</v>
      </c>
      <c r="D54" s="19" t="s">
        <v>95</v>
      </c>
      <c r="E54" s="19" t="s">
        <v>208</v>
      </c>
      <c r="F54" s="11" t="s">
        <v>655</v>
      </c>
      <c r="G54" s="19">
        <v>10000</v>
      </c>
      <c r="H54" s="25" t="s">
        <v>656</v>
      </c>
      <c r="I54" s="11" t="s">
        <v>41</v>
      </c>
      <c r="J54" s="12"/>
      <c r="K54" s="15">
        <v>100</v>
      </c>
      <c r="L54" s="15"/>
      <c r="M54" s="15" t="e">
        <f>#REF!=L54</f>
        <v>#REF!</v>
      </c>
      <c r="N54" s="15"/>
      <c r="O54" s="15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>
        <v>8</v>
      </c>
      <c r="AI54" s="17">
        <f>SUM(K54, N54:AB54) - AH54</f>
        <v>92</v>
      </c>
      <c r="AJ54" s="2"/>
      <c r="AK54" s="2"/>
      <c r="AL54" s="2"/>
      <c r="AM54" s="2"/>
      <c r="AN54" s="2"/>
      <c r="AO54" s="2"/>
    </row>
    <row r="55" spans="1:41" ht="13.5">
      <c r="A55" s="11">
        <v>135</v>
      </c>
      <c r="B55" s="12" t="s">
        <v>370</v>
      </c>
      <c r="C55" s="11" t="s">
        <v>160</v>
      </c>
      <c r="D55" s="11" t="s">
        <v>95</v>
      </c>
      <c r="E55" s="11" t="s">
        <v>208</v>
      </c>
      <c r="F55" s="22" t="s">
        <v>373</v>
      </c>
      <c r="G55" s="19">
        <v>5000</v>
      </c>
      <c r="H55" s="25" t="s">
        <v>374</v>
      </c>
      <c r="I55" s="11" t="s">
        <v>41</v>
      </c>
      <c r="J55" s="12" t="s">
        <v>164</v>
      </c>
      <c r="K55" s="15">
        <v>5</v>
      </c>
      <c r="L55" s="15">
        <v>5</v>
      </c>
      <c r="M55" s="15" t="e">
        <f>#REF!=L55</f>
        <v>#REF!</v>
      </c>
      <c r="N55" s="15"/>
      <c r="O55" s="15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>
        <v>3</v>
      </c>
      <c r="AI55" s="17">
        <f>SUM(K55, N55:AB55) - AH55</f>
        <v>2</v>
      </c>
      <c r="AJ55" s="2"/>
      <c r="AK55" s="2"/>
      <c r="AL55" s="2"/>
      <c r="AM55" s="2"/>
      <c r="AN55" s="2"/>
      <c r="AO55" s="2"/>
    </row>
    <row r="56" spans="1:41" ht="13.5">
      <c r="A56" s="11">
        <v>245</v>
      </c>
      <c r="B56" s="12" t="s">
        <v>624</v>
      </c>
      <c r="C56" s="11" t="s">
        <v>574</v>
      </c>
      <c r="D56" s="11" t="s">
        <v>246</v>
      </c>
      <c r="E56" s="11" t="s">
        <v>625</v>
      </c>
      <c r="F56" s="11" t="s">
        <v>626</v>
      </c>
      <c r="G56" s="14">
        <v>49000</v>
      </c>
      <c r="H56" s="25" t="s">
        <v>627</v>
      </c>
      <c r="I56" s="11" t="s">
        <v>129</v>
      </c>
      <c r="J56" s="12" t="s">
        <v>164</v>
      </c>
      <c r="K56" s="15">
        <v>3</v>
      </c>
      <c r="L56" s="15">
        <v>3</v>
      </c>
      <c r="M56" s="15" t="e">
        <f>#REF!=L56</f>
        <v>#REF!</v>
      </c>
      <c r="N56" s="15"/>
      <c r="O56" s="15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7">
        <f>SUM(K56, N56:AB56) - AH56</f>
        <v>3</v>
      </c>
      <c r="AJ56" s="2"/>
      <c r="AK56" s="2"/>
      <c r="AL56" s="2"/>
      <c r="AM56" s="2"/>
      <c r="AN56" s="2"/>
      <c r="AO56" s="2"/>
    </row>
    <row r="57" spans="1:41" ht="13.5">
      <c r="A57" s="11">
        <v>138</v>
      </c>
      <c r="B57" s="12" t="s">
        <v>370</v>
      </c>
      <c r="C57" s="11" t="s">
        <v>160</v>
      </c>
      <c r="D57" s="11" t="s">
        <v>99</v>
      </c>
      <c r="E57" s="11" t="s">
        <v>100</v>
      </c>
      <c r="F57" s="22" t="s">
        <v>379</v>
      </c>
      <c r="G57" s="19">
        <v>8800</v>
      </c>
      <c r="H57" s="25" t="s">
        <v>380</v>
      </c>
      <c r="I57" s="11" t="s">
        <v>41</v>
      </c>
      <c r="J57" s="12" t="s">
        <v>164</v>
      </c>
      <c r="K57" s="15">
        <v>10</v>
      </c>
      <c r="L57" s="15">
        <v>10</v>
      </c>
      <c r="M57" s="15" t="e">
        <f>#REF!=L57</f>
        <v>#REF!</v>
      </c>
      <c r="N57" s="15"/>
      <c r="O57" s="15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>
        <v>5</v>
      </c>
      <c r="AI57" s="17">
        <f>SUM(K57, N57:AB57) - AH57</f>
        <v>5</v>
      </c>
      <c r="AJ57" s="2"/>
      <c r="AK57" s="2"/>
      <c r="AL57" s="2"/>
      <c r="AM57" s="2"/>
      <c r="AN57" s="2"/>
      <c r="AO57" s="2"/>
    </row>
    <row r="58" spans="1:41" ht="13.5">
      <c r="A58" s="11">
        <v>146</v>
      </c>
      <c r="B58" s="12" t="s">
        <v>397</v>
      </c>
      <c r="C58" s="11" t="s">
        <v>160</v>
      </c>
      <c r="D58" s="11" t="s">
        <v>246</v>
      </c>
      <c r="E58" s="11" t="s">
        <v>303</v>
      </c>
      <c r="F58" s="13" t="s">
        <v>398</v>
      </c>
      <c r="G58" s="19">
        <v>1000</v>
      </c>
      <c r="H58" s="25" t="s">
        <v>399</v>
      </c>
      <c r="I58" s="11" t="s">
        <v>41</v>
      </c>
      <c r="J58" s="12" t="s">
        <v>164</v>
      </c>
      <c r="K58" s="15">
        <v>30</v>
      </c>
      <c r="L58" s="15">
        <v>30</v>
      </c>
      <c r="M58" s="15" t="e">
        <f>#REF!=L58</f>
        <v>#REF!</v>
      </c>
      <c r="N58" s="15"/>
      <c r="O58" s="15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>
        <v>9</v>
      </c>
      <c r="AI58" s="17">
        <f>SUM(K58, N58:AB58) - AH58</f>
        <v>21</v>
      </c>
      <c r="AJ58" s="2"/>
      <c r="AK58" s="2"/>
      <c r="AL58" s="2"/>
      <c r="AM58" s="2"/>
      <c r="AN58" s="2"/>
      <c r="AO58" s="2"/>
    </row>
    <row r="59" spans="1:41" ht="13.5">
      <c r="A59" s="11">
        <v>133</v>
      </c>
      <c r="B59" s="12" t="s">
        <v>362</v>
      </c>
      <c r="C59" s="11" t="s">
        <v>160</v>
      </c>
      <c r="D59" s="11" t="s">
        <v>106</v>
      </c>
      <c r="E59" s="11" t="s">
        <v>363</v>
      </c>
      <c r="F59" s="13" t="s">
        <v>368</v>
      </c>
      <c r="G59" s="19">
        <v>30000</v>
      </c>
      <c r="H59" s="25" t="s">
        <v>369</v>
      </c>
      <c r="I59" s="11" t="s">
        <v>41</v>
      </c>
      <c r="J59" s="11" t="s">
        <v>42</v>
      </c>
      <c r="K59" s="15">
        <v>5</v>
      </c>
      <c r="L59" s="15">
        <v>5</v>
      </c>
      <c r="M59" s="15" t="e">
        <f>#REF!=L59</f>
        <v>#REF!</v>
      </c>
      <c r="N59" s="15"/>
      <c r="O59" s="15"/>
      <c r="P59" s="16"/>
      <c r="Q59" s="16"/>
      <c r="R59" s="16"/>
      <c r="S59" s="16"/>
      <c r="T59" s="16"/>
      <c r="U59" s="16">
        <v>10</v>
      </c>
      <c r="V59" s="16"/>
      <c r="W59" s="16"/>
      <c r="X59" s="16"/>
      <c r="Y59" s="16">
        <v>30</v>
      </c>
      <c r="Z59" s="16"/>
      <c r="AA59" s="16"/>
      <c r="AB59" s="16"/>
      <c r="AC59" s="16"/>
      <c r="AD59" s="16"/>
      <c r="AE59" s="16"/>
      <c r="AF59" s="16"/>
      <c r="AG59" s="16"/>
      <c r="AH59" s="16">
        <v>39</v>
      </c>
      <c r="AI59" s="17">
        <f>SUM(K59, N59:AB59) - AH59</f>
        <v>6</v>
      </c>
      <c r="AJ59" s="2"/>
      <c r="AK59" s="2"/>
      <c r="AL59" s="2"/>
      <c r="AM59" s="2"/>
      <c r="AN59" s="2"/>
      <c r="AO59" s="2"/>
    </row>
    <row r="60" spans="1:41" ht="13.5">
      <c r="A60" s="11">
        <v>154</v>
      </c>
      <c r="B60" s="12" t="s">
        <v>413</v>
      </c>
      <c r="C60" s="11" t="s">
        <v>160</v>
      </c>
      <c r="D60" s="11" t="s">
        <v>229</v>
      </c>
      <c r="E60" s="11" t="s">
        <v>230</v>
      </c>
      <c r="F60" s="13" t="s">
        <v>416</v>
      </c>
      <c r="G60" s="19">
        <v>4000</v>
      </c>
      <c r="H60" s="25" t="s">
        <v>417</v>
      </c>
      <c r="I60" s="11" t="s">
        <v>41</v>
      </c>
      <c r="J60" s="12" t="s">
        <v>164</v>
      </c>
      <c r="K60" s="15">
        <v>10</v>
      </c>
      <c r="L60" s="15">
        <v>10</v>
      </c>
      <c r="M60" s="15" t="e">
        <f>#REF!=L60</f>
        <v>#REF!</v>
      </c>
      <c r="N60" s="15"/>
      <c r="O60" s="15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>
        <v>4</v>
      </c>
      <c r="AI60" s="17">
        <f>SUM(K60, N60:AB60) - AH60</f>
        <v>6</v>
      </c>
      <c r="AJ60" s="2"/>
      <c r="AK60" s="2"/>
      <c r="AL60" s="2"/>
      <c r="AM60" s="2"/>
      <c r="AN60" s="2"/>
      <c r="AO60" s="2"/>
    </row>
    <row r="61" spans="1:41" ht="13.5">
      <c r="A61" s="11">
        <v>74</v>
      </c>
      <c r="B61" s="12" t="s">
        <v>207</v>
      </c>
      <c r="C61" s="11" t="s">
        <v>160</v>
      </c>
      <c r="D61" s="11" t="s">
        <v>95</v>
      </c>
      <c r="E61" s="11" t="s">
        <v>124</v>
      </c>
      <c r="F61" s="11" t="s">
        <v>217</v>
      </c>
      <c r="G61" s="14">
        <v>10000</v>
      </c>
      <c r="H61" s="25" t="s">
        <v>218</v>
      </c>
      <c r="I61" s="11" t="s">
        <v>41</v>
      </c>
      <c r="J61" s="12" t="s">
        <v>164</v>
      </c>
      <c r="K61" s="15">
        <v>4</v>
      </c>
      <c r="L61" s="15"/>
      <c r="M61" s="15" t="e">
        <f>#REF!=L61</f>
        <v>#REF!</v>
      </c>
      <c r="N61" s="15"/>
      <c r="O61" s="15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7">
        <f>SUM(K61, N61:AB61) - AH61</f>
        <v>4</v>
      </c>
      <c r="AJ61" s="2"/>
      <c r="AK61" s="2"/>
      <c r="AL61" s="2"/>
      <c r="AM61" s="2"/>
      <c r="AN61" s="2"/>
      <c r="AO61" s="2"/>
    </row>
    <row r="62" spans="1:41" ht="13.5">
      <c r="A62" s="11">
        <v>71</v>
      </c>
      <c r="B62" s="12" t="s">
        <v>207</v>
      </c>
      <c r="C62" s="11" t="s">
        <v>160</v>
      </c>
      <c r="D62" s="11" t="s">
        <v>38</v>
      </c>
      <c r="E62" s="11" t="s">
        <v>38</v>
      </c>
      <c r="F62" s="11" t="s">
        <v>211</v>
      </c>
      <c r="G62" s="14">
        <v>27000</v>
      </c>
      <c r="H62" s="25" t="s">
        <v>212</v>
      </c>
      <c r="I62" s="11" t="s">
        <v>41</v>
      </c>
      <c r="J62" s="12" t="s">
        <v>164</v>
      </c>
      <c r="K62" s="15">
        <v>4</v>
      </c>
      <c r="L62" s="15"/>
      <c r="M62" s="15" t="e">
        <f>#REF!=L62</f>
        <v>#REF!</v>
      </c>
      <c r="N62" s="15"/>
      <c r="O62" s="15">
        <v>4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>
        <v>3</v>
      </c>
      <c r="AI62" s="17">
        <f>SUM(K62, N62:AB62) - AH62</f>
        <v>5</v>
      </c>
      <c r="AJ62" s="2"/>
      <c r="AK62" s="2"/>
      <c r="AL62" s="2"/>
      <c r="AM62" s="2"/>
      <c r="AN62" s="2"/>
      <c r="AO62" s="2"/>
    </row>
    <row r="63" spans="1:41" ht="13.5">
      <c r="A63" s="11">
        <v>75</v>
      </c>
      <c r="B63" s="12" t="s">
        <v>207</v>
      </c>
      <c r="C63" s="11" t="s">
        <v>160</v>
      </c>
      <c r="D63" s="11" t="s">
        <v>219</v>
      </c>
      <c r="E63" s="11" t="s">
        <v>220</v>
      </c>
      <c r="F63" s="11" t="s">
        <v>221</v>
      </c>
      <c r="G63" s="14">
        <v>6000</v>
      </c>
      <c r="H63" s="25" t="s">
        <v>222</v>
      </c>
      <c r="I63" s="11" t="s">
        <v>41</v>
      </c>
      <c r="J63" s="12" t="s">
        <v>164</v>
      </c>
      <c r="K63" s="15">
        <v>5</v>
      </c>
      <c r="L63" s="15"/>
      <c r="M63" s="15" t="e">
        <f>#REF!=L63</f>
        <v>#REF!</v>
      </c>
      <c r="N63" s="15"/>
      <c r="O63" s="15">
        <v>5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>
        <v>3</v>
      </c>
      <c r="AI63" s="17">
        <f>SUM(K63, N63:AB63) - AH63</f>
        <v>7</v>
      </c>
      <c r="AJ63" s="2"/>
      <c r="AK63" s="2"/>
      <c r="AL63" s="2"/>
      <c r="AM63" s="2"/>
      <c r="AN63" s="2"/>
      <c r="AO63" s="2"/>
    </row>
    <row r="64" spans="1:41" ht="13.5">
      <c r="A64" s="11">
        <v>95</v>
      </c>
      <c r="B64" s="12" t="s">
        <v>270</v>
      </c>
      <c r="C64" s="11" t="s">
        <v>160</v>
      </c>
      <c r="D64" s="11" t="s">
        <v>99</v>
      </c>
      <c r="E64" s="11" t="s">
        <v>224</v>
      </c>
      <c r="F64" s="18" t="s">
        <v>273</v>
      </c>
      <c r="G64" s="19">
        <v>10000</v>
      </c>
      <c r="H64" s="25" t="s">
        <v>274</v>
      </c>
      <c r="I64" s="11" t="s">
        <v>41</v>
      </c>
      <c r="J64" s="12" t="s">
        <v>164</v>
      </c>
      <c r="K64" s="15">
        <v>10</v>
      </c>
      <c r="L64" s="15"/>
      <c r="M64" s="15" t="e">
        <f>#REF!=L64</f>
        <v>#REF!</v>
      </c>
      <c r="N64" s="15"/>
      <c r="O64" s="15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>
        <v>5</v>
      </c>
      <c r="AI64" s="17">
        <f>SUM(K64, N64:AB64) - AH64</f>
        <v>5</v>
      </c>
      <c r="AJ64" s="2"/>
      <c r="AK64" s="2"/>
      <c r="AL64" s="2"/>
      <c r="AM64" s="2"/>
      <c r="AN64" s="2"/>
      <c r="AO64" s="2"/>
    </row>
    <row r="65" spans="1:41" ht="13.5">
      <c r="A65" s="11">
        <v>174</v>
      </c>
      <c r="B65" s="12" t="s">
        <v>462</v>
      </c>
      <c r="C65" s="11" t="s">
        <v>160</v>
      </c>
      <c r="D65" s="11" t="s">
        <v>99</v>
      </c>
      <c r="E65" s="11" t="s">
        <v>224</v>
      </c>
      <c r="F65" s="13" t="s">
        <v>465</v>
      </c>
      <c r="G65" s="19">
        <v>18000</v>
      </c>
      <c r="H65" s="25" t="s">
        <v>466</v>
      </c>
      <c r="I65" s="11" t="s">
        <v>41</v>
      </c>
      <c r="J65" s="12" t="s">
        <v>164</v>
      </c>
      <c r="K65" s="15">
        <v>5</v>
      </c>
      <c r="L65" s="15">
        <v>5</v>
      </c>
      <c r="M65" s="15" t="e">
        <f>#REF!=L65</f>
        <v>#REF!</v>
      </c>
      <c r="N65" s="15"/>
      <c r="O65" s="15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7">
        <f>SUM(K65, N65:AB65) - AH65</f>
        <v>5</v>
      </c>
      <c r="AJ65" s="2"/>
      <c r="AK65" s="2"/>
      <c r="AL65" s="2"/>
      <c r="AM65" s="2"/>
      <c r="AN65" s="2"/>
      <c r="AO65" s="2"/>
    </row>
    <row r="66" spans="1:41" ht="13.5">
      <c r="A66" s="11">
        <v>175</v>
      </c>
      <c r="B66" s="12" t="s">
        <v>462</v>
      </c>
      <c r="C66" s="11" t="s">
        <v>160</v>
      </c>
      <c r="D66" s="11" t="s">
        <v>99</v>
      </c>
      <c r="E66" s="11" t="s">
        <v>224</v>
      </c>
      <c r="F66" s="13" t="s">
        <v>467</v>
      </c>
      <c r="G66" s="19">
        <v>14000</v>
      </c>
      <c r="H66" s="25" t="s">
        <v>468</v>
      </c>
      <c r="I66" s="11" t="s">
        <v>41</v>
      </c>
      <c r="J66" s="12" t="s">
        <v>164</v>
      </c>
      <c r="K66" s="15">
        <v>10</v>
      </c>
      <c r="L66" s="15">
        <v>10</v>
      </c>
      <c r="M66" s="15" t="e">
        <f>#REF!=L66</f>
        <v>#REF!</v>
      </c>
      <c r="N66" s="15"/>
      <c r="O66" s="15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7">
        <f>SUM(K66, N66:AB66) - AH66</f>
        <v>10</v>
      </c>
      <c r="AJ66" s="2"/>
      <c r="AK66" s="2"/>
      <c r="AL66" s="2"/>
      <c r="AM66" s="2"/>
      <c r="AN66" s="2"/>
      <c r="AO66" s="2"/>
    </row>
    <row r="67" spans="1:41" ht="13.5">
      <c r="A67" s="11">
        <v>173</v>
      </c>
      <c r="B67" s="12" t="s">
        <v>462</v>
      </c>
      <c r="C67" s="11" t="s">
        <v>160</v>
      </c>
      <c r="D67" s="11" t="s">
        <v>99</v>
      </c>
      <c r="E67" s="11" t="s">
        <v>224</v>
      </c>
      <c r="F67" s="13" t="s">
        <v>463</v>
      </c>
      <c r="G67" s="19">
        <v>8500</v>
      </c>
      <c r="H67" s="25" t="s">
        <v>464</v>
      </c>
      <c r="I67" s="11" t="s">
        <v>41</v>
      </c>
      <c r="J67" s="12" t="s">
        <v>164</v>
      </c>
      <c r="K67" s="15">
        <v>5</v>
      </c>
      <c r="L67" s="15">
        <v>5</v>
      </c>
      <c r="M67" s="15" t="e">
        <f>#REF!=L67</f>
        <v>#REF!</v>
      </c>
      <c r="N67" s="15"/>
      <c r="O67" s="15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>
        <v>3</v>
      </c>
      <c r="AI67" s="17">
        <f>SUM(K67, N67:AB67) - AH67</f>
        <v>2</v>
      </c>
      <c r="AJ67" s="2"/>
      <c r="AK67" s="2"/>
      <c r="AL67" s="2"/>
      <c r="AM67" s="2"/>
      <c r="AN67" s="2"/>
      <c r="AO67" s="2"/>
    </row>
    <row r="68" spans="1:41" ht="13.5">
      <c r="A68" s="11">
        <v>247</v>
      </c>
      <c r="B68" s="12" t="s">
        <v>628</v>
      </c>
      <c r="C68" s="11" t="s">
        <v>160</v>
      </c>
      <c r="D68" s="11" t="s">
        <v>106</v>
      </c>
      <c r="E68" s="11" t="s">
        <v>192</v>
      </c>
      <c r="F68" s="13" t="s">
        <v>631</v>
      </c>
      <c r="G68" s="19">
        <v>14000</v>
      </c>
      <c r="H68" s="25" t="s">
        <v>632</v>
      </c>
      <c r="I68" s="11" t="s">
        <v>41</v>
      </c>
      <c r="J68" s="12" t="s">
        <v>164</v>
      </c>
      <c r="K68" s="15"/>
      <c r="L68" s="15"/>
      <c r="M68" s="15" t="e">
        <f>#REF!=L68</f>
        <v>#REF!</v>
      </c>
      <c r="N68" s="15"/>
      <c r="O68" s="15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7">
        <f>SUM(K68, N68:AB68) - AH68</f>
        <v>0</v>
      </c>
      <c r="AJ68" s="2"/>
      <c r="AK68" s="2"/>
      <c r="AL68" s="2"/>
      <c r="AM68" s="2"/>
      <c r="AN68" s="2"/>
      <c r="AO68" s="2"/>
    </row>
    <row r="69" spans="1:41" ht="13.5">
      <c r="A69" s="11">
        <v>246</v>
      </c>
      <c r="B69" s="12" t="s">
        <v>628</v>
      </c>
      <c r="C69" s="11" t="s">
        <v>160</v>
      </c>
      <c r="D69" s="11" t="s">
        <v>106</v>
      </c>
      <c r="E69" s="11" t="s">
        <v>192</v>
      </c>
      <c r="F69" s="13" t="s">
        <v>629</v>
      </c>
      <c r="G69" s="19">
        <v>21000</v>
      </c>
      <c r="H69" s="25" t="s">
        <v>630</v>
      </c>
      <c r="I69" s="11" t="s">
        <v>41</v>
      </c>
      <c r="J69" s="12" t="s">
        <v>164</v>
      </c>
      <c r="K69" s="15"/>
      <c r="L69" s="15"/>
      <c r="M69" s="15" t="e">
        <f>#REF!=L69</f>
        <v>#REF!</v>
      </c>
      <c r="N69" s="15"/>
      <c r="O69" s="15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7">
        <f>SUM(K69, N69:AB69) - AH69</f>
        <v>0</v>
      </c>
      <c r="AJ69" s="2"/>
      <c r="AK69" s="2"/>
      <c r="AL69" s="2"/>
      <c r="AM69" s="2"/>
      <c r="AN69" s="2"/>
      <c r="AO69" s="2"/>
    </row>
    <row r="70" spans="1:41" ht="13.5">
      <c r="A70" s="11">
        <v>189</v>
      </c>
      <c r="B70" s="12" t="s">
        <v>479</v>
      </c>
      <c r="C70" s="11" t="s">
        <v>160</v>
      </c>
      <c r="D70" s="11" t="s">
        <v>106</v>
      </c>
      <c r="E70" s="11" t="s">
        <v>192</v>
      </c>
      <c r="F70" s="13" t="s">
        <v>498</v>
      </c>
      <c r="G70" s="20">
        <v>37000</v>
      </c>
      <c r="H70" s="25" t="s">
        <v>499</v>
      </c>
      <c r="I70" s="11" t="s">
        <v>41</v>
      </c>
      <c r="J70" s="11" t="s">
        <v>42</v>
      </c>
      <c r="K70" s="15">
        <v>4</v>
      </c>
      <c r="L70" s="15">
        <v>4</v>
      </c>
      <c r="M70" s="15" t="e">
        <f>#REF!=L70</f>
        <v>#REF!</v>
      </c>
      <c r="N70" s="15"/>
      <c r="O70" s="15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>
        <v>2</v>
      </c>
      <c r="AI70" s="17">
        <f>SUM(K70, N70:AB70) - AH70</f>
        <v>2</v>
      </c>
      <c r="AJ70" s="2"/>
      <c r="AK70" s="2"/>
      <c r="AL70" s="2"/>
      <c r="AM70" s="2"/>
      <c r="AN70" s="2"/>
      <c r="AO70" s="2"/>
    </row>
    <row r="71" spans="1:41" ht="13.5">
      <c r="A71" s="11">
        <v>99</v>
      </c>
      <c r="B71" s="12" t="s">
        <v>281</v>
      </c>
      <c r="C71" s="11" t="s">
        <v>160</v>
      </c>
      <c r="D71" s="11" t="s">
        <v>242</v>
      </c>
      <c r="E71" s="11" t="s">
        <v>243</v>
      </c>
      <c r="F71" s="13" t="s">
        <v>282</v>
      </c>
      <c r="G71" s="19">
        <v>9000</v>
      </c>
      <c r="H71" s="25" t="s">
        <v>283</v>
      </c>
      <c r="I71" s="11" t="s">
        <v>41</v>
      </c>
      <c r="J71" s="12" t="s">
        <v>164</v>
      </c>
      <c r="K71" s="15">
        <v>6</v>
      </c>
      <c r="L71" s="15">
        <v>6</v>
      </c>
      <c r="M71" s="15" t="e">
        <f>#REF!=L71</f>
        <v>#REF!</v>
      </c>
      <c r="N71" s="15"/>
      <c r="O71" s="15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>
        <v>2</v>
      </c>
      <c r="AI71" s="17">
        <f>SUM(K71, N71:AB71) - AH71</f>
        <v>4</v>
      </c>
      <c r="AJ71" s="2"/>
      <c r="AK71" s="2"/>
      <c r="AL71" s="2"/>
      <c r="AM71" s="2"/>
      <c r="AN71" s="2"/>
      <c r="AO71" s="2"/>
    </row>
    <row r="72" spans="1:41" ht="13.5">
      <c r="A72" s="11">
        <v>104</v>
      </c>
      <c r="B72" s="12" t="s">
        <v>289</v>
      </c>
      <c r="C72" s="11" t="s">
        <v>160</v>
      </c>
      <c r="D72" s="11" t="s">
        <v>99</v>
      </c>
      <c r="E72" s="11" t="s">
        <v>295</v>
      </c>
      <c r="F72" s="13" t="s">
        <v>296</v>
      </c>
      <c r="G72" s="19">
        <v>12000</v>
      </c>
      <c r="H72" s="25" t="s">
        <v>297</v>
      </c>
      <c r="I72" s="11" t="s">
        <v>41</v>
      </c>
      <c r="J72" s="11" t="s">
        <v>42</v>
      </c>
      <c r="K72" s="15">
        <v>10</v>
      </c>
      <c r="L72" s="15">
        <v>10</v>
      </c>
      <c r="M72" s="15" t="e">
        <f>#REF!=L72</f>
        <v>#REF!</v>
      </c>
      <c r="N72" s="15"/>
      <c r="O72" s="15"/>
      <c r="P72" s="16"/>
      <c r="Q72" s="16"/>
      <c r="R72" s="16"/>
      <c r="S72" s="16"/>
      <c r="T72" s="16"/>
      <c r="U72" s="16"/>
      <c r="V72" s="16"/>
      <c r="W72" s="16">
        <v>10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>
        <v>5</v>
      </c>
      <c r="AI72" s="17">
        <f>SUM(K72, N72:AB72) - AH72</f>
        <v>15</v>
      </c>
      <c r="AJ72" s="2"/>
      <c r="AK72" s="2"/>
      <c r="AL72" s="2"/>
      <c r="AM72" s="2"/>
      <c r="AN72" s="2"/>
      <c r="AO72" s="2"/>
    </row>
    <row r="73" spans="1:41" ht="13.5">
      <c r="A73" s="11">
        <v>169</v>
      </c>
      <c r="B73" s="12" t="s">
        <v>453</v>
      </c>
      <c r="C73" s="11" t="s">
        <v>160</v>
      </c>
      <c r="D73" s="11" t="s">
        <v>229</v>
      </c>
      <c r="E73" s="11" t="s">
        <v>230</v>
      </c>
      <c r="F73" s="13" t="s">
        <v>454</v>
      </c>
      <c r="G73" s="19">
        <v>28000</v>
      </c>
      <c r="H73" s="25" t="s">
        <v>455</v>
      </c>
      <c r="I73" s="11" t="s">
        <v>41</v>
      </c>
      <c r="J73" s="12" t="s">
        <v>164</v>
      </c>
      <c r="K73" s="15">
        <v>5</v>
      </c>
      <c r="L73" s="15">
        <v>5</v>
      </c>
      <c r="M73" s="15" t="e">
        <f>#REF!=L73</f>
        <v>#REF!</v>
      </c>
      <c r="N73" s="15"/>
      <c r="O73" s="15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>
        <v>3</v>
      </c>
      <c r="AI73" s="17">
        <f>SUM(K73, N73:AB73) - AH73</f>
        <v>2</v>
      </c>
      <c r="AJ73" s="2"/>
      <c r="AK73" s="2"/>
      <c r="AL73" s="2"/>
      <c r="AM73" s="2"/>
      <c r="AN73" s="2"/>
      <c r="AO73" s="2"/>
    </row>
    <row r="74" spans="1:41" ht="13.5">
      <c r="A74" s="11">
        <v>170</v>
      </c>
      <c r="B74" s="12" t="s">
        <v>453</v>
      </c>
      <c r="C74" s="11" t="s">
        <v>160</v>
      </c>
      <c r="D74" s="11" t="s">
        <v>229</v>
      </c>
      <c r="E74" s="11" t="s">
        <v>230</v>
      </c>
      <c r="F74" s="13" t="s">
        <v>456</v>
      </c>
      <c r="G74" s="19">
        <v>18000</v>
      </c>
      <c r="H74" s="25" t="s">
        <v>457</v>
      </c>
      <c r="I74" s="11" t="s">
        <v>41</v>
      </c>
      <c r="J74" s="12" t="s">
        <v>164</v>
      </c>
      <c r="K74" s="15">
        <v>5</v>
      </c>
      <c r="L74" s="15">
        <v>5</v>
      </c>
      <c r="M74" s="15" t="e">
        <f>#REF!=L74</f>
        <v>#REF!</v>
      </c>
      <c r="N74" s="15"/>
      <c r="O74" s="15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>
        <f>SUM(K74, N74:AB74) - AH74</f>
        <v>5</v>
      </c>
      <c r="AJ74" s="2"/>
      <c r="AK74" s="2"/>
      <c r="AL74" s="2"/>
      <c r="AM74" s="2"/>
      <c r="AN74" s="2"/>
      <c r="AO74" s="2"/>
    </row>
    <row r="75" spans="1:41" ht="13.5">
      <c r="A75" s="11">
        <v>171</v>
      </c>
      <c r="B75" s="12" t="s">
        <v>453</v>
      </c>
      <c r="C75" s="11" t="s">
        <v>160</v>
      </c>
      <c r="D75" s="11" t="s">
        <v>229</v>
      </c>
      <c r="E75" s="11" t="s">
        <v>230</v>
      </c>
      <c r="F75" s="13" t="s">
        <v>458</v>
      </c>
      <c r="G75" s="20">
        <v>15000</v>
      </c>
      <c r="H75" s="25" t="s">
        <v>459</v>
      </c>
      <c r="I75" s="11" t="s">
        <v>41</v>
      </c>
      <c r="J75" s="12" t="s">
        <v>164</v>
      </c>
      <c r="K75" s="15">
        <v>2</v>
      </c>
      <c r="L75" s="15">
        <v>2</v>
      </c>
      <c r="M75" s="15" t="e">
        <f>#REF!=L75</f>
        <v>#REF!</v>
      </c>
      <c r="N75" s="15"/>
      <c r="O75" s="15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7">
        <f>SUM(K75, N75:AB75) - AH75</f>
        <v>2</v>
      </c>
      <c r="AJ75" s="2"/>
      <c r="AK75" s="2"/>
      <c r="AL75" s="2"/>
      <c r="AM75" s="2"/>
      <c r="AN75" s="2"/>
      <c r="AO75" s="2"/>
    </row>
    <row r="76" spans="1:41" ht="13.5">
      <c r="A76" s="11">
        <v>172</v>
      </c>
      <c r="B76" s="12" t="s">
        <v>453</v>
      </c>
      <c r="C76" s="11" t="s">
        <v>160</v>
      </c>
      <c r="D76" s="11" t="s">
        <v>229</v>
      </c>
      <c r="E76" s="11" t="s">
        <v>230</v>
      </c>
      <c r="F76" s="13" t="s">
        <v>460</v>
      </c>
      <c r="G76" s="20">
        <v>10000</v>
      </c>
      <c r="H76" s="25" t="s">
        <v>461</v>
      </c>
      <c r="I76" s="11" t="s">
        <v>41</v>
      </c>
      <c r="J76" s="12" t="s">
        <v>164</v>
      </c>
      <c r="K76" s="15">
        <v>2</v>
      </c>
      <c r="L76" s="15">
        <v>2</v>
      </c>
      <c r="M76" s="15" t="e">
        <f>#REF!=L76</f>
        <v>#REF!</v>
      </c>
      <c r="N76" s="15"/>
      <c r="O76" s="15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7">
        <f>SUM(K76, N76:AB76) - AH76</f>
        <v>2</v>
      </c>
      <c r="AJ76" s="2"/>
      <c r="AK76" s="2"/>
      <c r="AL76" s="2"/>
      <c r="AM76" s="2"/>
      <c r="AN76" s="2"/>
      <c r="AO76" s="2"/>
    </row>
    <row r="77" spans="1:41" ht="13.5">
      <c r="A77" s="11">
        <v>82</v>
      </c>
      <c r="B77" s="12" t="s">
        <v>241</v>
      </c>
      <c r="C77" s="11" t="s">
        <v>160</v>
      </c>
      <c r="D77" s="11" t="s">
        <v>242</v>
      </c>
      <c r="E77" s="11" t="s">
        <v>243</v>
      </c>
      <c r="F77" s="13" t="s">
        <v>244</v>
      </c>
      <c r="G77" s="19">
        <v>18000</v>
      </c>
      <c r="H77" s="25" t="s">
        <v>245</v>
      </c>
      <c r="I77" s="11" t="s">
        <v>41</v>
      </c>
      <c r="J77" s="11" t="s">
        <v>42</v>
      </c>
      <c r="K77" s="15">
        <v>10</v>
      </c>
      <c r="L77" s="15"/>
      <c r="M77" s="15" t="e">
        <f>#REF!=L77</f>
        <v>#REF!</v>
      </c>
      <c r="N77" s="15"/>
      <c r="O77" s="15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>
        <v>2</v>
      </c>
      <c r="AI77" s="17">
        <f>SUM(K77, N77:AB77) - AH77</f>
        <v>8</v>
      </c>
      <c r="AJ77" s="2"/>
      <c r="AK77" s="2"/>
      <c r="AL77" s="2"/>
      <c r="AM77" s="2"/>
      <c r="AN77" s="2"/>
      <c r="AO77" s="2"/>
    </row>
    <row r="78" spans="1:41" ht="13.5">
      <c r="A78" s="11">
        <v>83</v>
      </c>
      <c r="B78" s="12" t="s">
        <v>241</v>
      </c>
      <c r="C78" s="11" t="s">
        <v>160</v>
      </c>
      <c r="D78" s="11" t="s">
        <v>246</v>
      </c>
      <c r="E78" s="11" t="s">
        <v>247</v>
      </c>
      <c r="F78" s="13" t="s">
        <v>248</v>
      </c>
      <c r="G78" s="19">
        <v>3000</v>
      </c>
      <c r="H78" s="25" t="s">
        <v>249</v>
      </c>
      <c r="I78" s="11" t="s">
        <v>41</v>
      </c>
      <c r="J78" s="11" t="s">
        <v>42</v>
      </c>
      <c r="K78" s="15">
        <v>20</v>
      </c>
      <c r="L78" s="15"/>
      <c r="M78" s="15" t="e">
        <f>#REF!=L78</f>
        <v>#REF!</v>
      </c>
      <c r="N78" s="15"/>
      <c r="O78" s="15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7">
        <f>SUM(K78, N78:AB78) - AH78</f>
        <v>20</v>
      </c>
      <c r="AJ78" s="2"/>
      <c r="AK78" s="2"/>
      <c r="AL78" s="2"/>
      <c r="AM78" s="2"/>
      <c r="AN78" s="2"/>
      <c r="AO78" s="2"/>
    </row>
    <row r="79" spans="1:41" ht="13.5">
      <c r="A79" s="11">
        <v>88</v>
      </c>
      <c r="B79" s="12" t="s">
        <v>241</v>
      </c>
      <c r="C79" s="11" t="s">
        <v>160</v>
      </c>
      <c r="D79" s="11" t="s">
        <v>99</v>
      </c>
      <c r="E79" s="11" t="s">
        <v>224</v>
      </c>
      <c r="F79" s="18" t="s">
        <v>258</v>
      </c>
      <c r="G79" s="19">
        <v>6000</v>
      </c>
      <c r="H79" s="25" t="s">
        <v>259</v>
      </c>
      <c r="I79" s="11" t="s">
        <v>41</v>
      </c>
      <c r="J79" s="11" t="s">
        <v>42</v>
      </c>
      <c r="K79" s="15">
        <v>10</v>
      </c>
      <c r="L79" s="15"/>
      <c r="M79" s="15" t="e">
        <f>#REF!=L79</f>
        <v>#REF!</v>
      </c>
      <c r="N79" s="15"/>
      <c r="O79" s="15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7">
        <f>SUM(K79, N79:AB79) - AH79</f>
        <v>10</v>
      </c>
      <c r="AJ79" s="2"/>
      <c r="AK79" s="2"/>
      <c r="AL79" s="2"/>
      <c r="AM79" s="2"/>
      <c r="AN79" s="2"/>
      <c r="AO79" s="2"/>
    </row>
    <row r="80" spans="1:41" ht="13.5">
      <c r="A80" s="11">
        <v>92</v>
      </c>
      <c r="B80" s="12" t="s">
        <v>241</v>
      </c>
      <c r="C80" s="11" t="s">
        <v>160</v>
      </c>
      <c r="D80" s="11" t="s">
        <v>229</v>
      </c>
      <c r="E80" s="11" t="s">
        <v>233</v>
      </c>
      <c r="F80" s="13" t="s">
        <v>266</v>
      </c>
      <c r="G80" s="20">
        <v>29000</v>
      </c>
      <c r="H80" s="25" t="s">
        <v>267</v>
      </c>
      <c r="I80" s="11" t="s">
        <v>41</v>
      </c>
      <c r="J80" s="11" t="s">
        <v>42</v>
      </c>
      <c r="K80" s="15">
        <v>2</v>
      </c>
      <c r="L80" s="15"/>
      <c r="M80" s="15" t="e">
        <f>#REF!=L80</f>
        <v>#REF!</v>
      </c>
      <c r="N80" s="15"/>
      <c r="O80" s="15"/>
      <c r="P80" s="16"/>
      <c r="Q80" s="16">
        <v>2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>
        <v>5</v>
      </c>
      <c r="AE80" s="16"/>
      <c r="AF80" s="16"/>
      <c r="AG80" s="16"/>
      <c r="AH80" s="16">
        <v>4</v>
      </c>
      <c r="AI80" s="17">
        <f>SUM(K80, N80:AB80) - AH80</f>
        <v>0</v>
      </c>
      <c r="AJ80" s="2"/>
      <c r="AK80" s="2"/>
      <c r="AL80" s="2"/>
      <c r="AM80" s="2"/>
      <c r="AN80" s="2"/>
      <c r="AO80" s="2"/>
    </row>
    <row r="81" spans="1:41" ht="13.5">
      <c r="A81" s="11">
        <v>93</v>
      </c>
      <c r="B81" s="12" t="s">
        <v>241</v>
      </c>
      <c r="C81" s="11" t="s">
        <v>160</v>
      </c>
      <c r="D81" s="11" t="s">
        <v>229</v>
      </c>
      <c r="E81" s="11" t="s">
        <v>233</v>
      </c>
      <c r="F81" s="13" t="s">
        <v>268</v>
      </c>
      <c r="G81" s="20">
        <v>40000</v>
      </c>
      <c r="H81" s="25" t="s">
        <v>269</v>
      </c>
      <c r="I81" s="11" t="s">
        <v>41</v>
      </c>
      <c r="J81" s="11" t="s">
        <v>42</v>
      </c>
      <c r="K81" s="15">
        <v>2</v>
      </c>
      <c r="L81" s="15"/>
      <c r="M81" s="15" t="e">
        <f>#REF!=L81</f>
        <v>#REF!</v>
      </c>
      <c r="N81" s="15"/>
      <c r="O81" s="15"/>
      <c r="P81" s="16"/>
      <c r="Q81" s="16">
        <v>2</v>
      </c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>
        <v>3</v>
      </c>
      <c r="AE81" s="16"/>
      <c r="AF81" s="16"/>
      <c r="AG81" s="16"/>
      <c r="AH81" s="16">
        <v>3</v>
      </c>
      <c r="AI81" s="17">
        <f>SUM(K81, N81:AB81) - AH81</f>
        <v>1</v>
      </c>
      <c r="AJ81" s="2"/>
      <c r="AK81" s="2"/>
      <c r="AL81" s="2"/>
      <c r="AM81" s="2"/>
      <c r="AN81" s="2"/>
      <c r="AO81" s="2"/>
    </row>
    <row r="82" spans="1:41" ht="13.5">
      <c r="A82" s="11">
        <v>76</v>
      </c>
      <c r="B82" s="12" t="s">
        <v>223</v>
      </c>
      <c r="C82" s="11" t="s">
        <v>160</v>
      </c>
      <c r="D82" s="11" t="s">
        <v>99</v>
      </c>
      <c r="E82" s="11" t="s">
        <v>224</v>
      </c>
      <c r="F82" s="13" t="s">
        <v>225</v>
      </c>
      <c r="G82" s="19">
        <v>6000</v>
      </c>
      <c r="H82" s="25" t="s">
        <v>226</v>
      </c>
      <c r="I82" s="11" t="s">
        <v>41</v>
      </c>
      <c r="J82" s="12" t="s">
        <v>164</v>
      </c>
      <c r="K82" s="15">
        <v>10</v>
      </c>
      <c r="L82" s="15"/>
      <c r="M82" s="15" t="e">
        <f>#REF!=L82</f>
        <v>#REF!</v>
      </c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>
        <v>1</v>
      </c>
      <c r="AI82" s="17">
        <f>SUM(K82, N82:AB82) - AH82</f>
        <v>9</v>
      </c>
      <c r="AJ82" s="2"/>
      <c r="AK82" s="2"/>
      <c r="AL82" s="2"/>
      <c r="AM82" s="2"/>
      <c r="AN82" s="2"/>
      <c r="AO82" s="2"/>
    </row>
    <row r="83" spans="1:41" ht="13.5">
      <c r="A83" s="11">
        <v>77</v>
      </c>
      <c r="B83" s="12" t="s">
        <v>223</v>
      </c>
      <c r="C83" s="11" t="s">
        <v>160</v>
      </c>
      <c r="D83" s="11" t="s">
        <v>99</v>
      </c>
      <c r="E83" s="11" t="s">
        <v>224</v>
      </c>
      <c r="F83" s="13" t="s">
        <v>227</v>
      </c>
      <c r="G83" s="19">
        <v>9000</v>
      </c>
      <c r="H83" s="25" t="s">
        <v>228</v>
      </c>
      <c r="I83" s="11" t="s">
        <v>41</v>
      </c>
      <c r="J83" s="12" t="s">
        <v>164</v>
      </c>
      <c r="K83" s="15">
        <v>10</v>
      </c>
      <c r="L83" s="15"/>
      <c r="M83" s="15" t="e">
        <f>#REF!=L83</f>
        <v>#REF!</v>
      </c>
      <c r="N83" s="15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>
        <v>1</v>
      </c>
      <c r="AI83" s="17">
        <f>SUM(K83, N83:AB83) - AH83</f>
        <v>9</v>
      </c>
      <c r="AJ83" s="2"/>
      <c r="AK83" s="2"/>
      <c r="AL83" s="2"/>
      <c r="AM83" s="2"/>
      <c r="AN83" s="2"/>
      <c r="AO83" s="2"/>
    </row>
    <row r="84" spans="1:41" ht="13.5">
      <c r="A84" s="11">
        <v>78</v>
      </c>
      <c r="B84" s="12" t="s">
        <v>223</v>
      </c>
      <c r="C84" s="11" t="s">
        <v>160</v>
      </c>
      <c r="D84" s="11" t="s">
        <v>229</v>
      </c>
      <c r="E84" s="11" t="s">
        <v>230</v>
      </c>
      <c r="F84" s="13" t="s">
        <v>231</v>
      </c>
      <c r="G84" s="19">
        <v>33000</v>
      </c>
      <c r="H84" s="25" t="s">
        <v>232</v>
      </c>
      <c r="I84" s="11" t="s">
        <v>41</v>
      </c>
      <c r="J84" s="12" t="s">
        <v>164</v>
      </c>
      <c r="K84" s="15">
        <v>4</v>
      </c>
      <c r="L84" s="15"/>
      <c r="M84" s="15" t="e">
        <f>#REF!=L84</f>
        <v>#REF!</v>
      </c>
      <c r="N84" s="15"/>
      <c r="O84" s="15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7">
        <f>SUM(K84, N84:AB84) - AH84</f>
        <v>4</v>
      </c>
      <c r="AJ84" s="2"/>
      <c r="AK84" s="2"/>
      <c r="AL84" s="2"/>
      <c r="AM84" s="2"/>
      <c r="AN84" s="2"/>
      <c r="AO84" s="2"/>
    </row>
    <row r="85" spans="1:41" ht="13.5">
      <c r="A85" s="11">
        <v>79</v>
      </c>
      <c r="B85" s="12" t="s">
        <v>223</v>
      </c>
      <c r="C85" s="11" t="s">
        <v>160</v>
      </c>
      <c r="D85" s="11" t="s">
        <v>229</v>
      </c>
      <c r="E85" s="11" t="s">
        <v>233</v>
      </c>
      <c r="F85" s="13" t="s">
        <v>234</v>
      </c>
      <c r="G85" s="19">
        <v>15000</v>
      </c>
      <c r="H85" s="25" t="s">
        <v>235</v>
      </c>
      <c r="I85" s="11" t="s">
        <v>41</v>
      </c>
      <c r="J85" s="12" t="s">
        <v>164</v>
      </c>
      <c r="K85" s="15">
        <v>5</v>
      </c>
      <c r="L85" s="15"/>
      <c r="M85" s="15" t="e">
        <f>#REF!=L85</f>
        <v>#REF!</v>
      </c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>
        <v>3</v>
      </c>
      <c r="AI85" s="17">
        <f>SUM(K85, N85:AB85) - AH85</f>
        <v>2</v>
      </c>
      <c r="AJ85" s="2"/>
      <c r="AK85" s="2"/>
      <c r="AL85" s="2"/>
      <c r="AM85" s="2"/>
      <c r="AN85" s="2"/>
      <c r="AO85" s="2"/>
    </row>
    <row r="86" spans="1:41" ht="13.5">
      <c r="A86" s="11">
        <v>86</v>
      </c>
      <c r="B86" s="12" t="s">
        <v>241</v>
      </c>
      <c r="C86" s="11" t="s">
        <v>160</v>
      </c>
      <c r="D86" s="11" t="s">
        <v>99</v>
      </c>
      <c r="E86" s="11" t="s">
        <v>224</v>
      </c>
      <c r="F86" s="18" t="s">
        <v>254</v>
      </c>
      <c r="G86" s="19">
        <v>6000</v>
      </c>
      <c r="H86" s="25" t="s">
        <v>255</v>
      </c>
      <c r="I86" s="11" t="s">
        <v>41</v>
      </c>
      <c r="J86" s="11" t="s">
        <v>42</v>
      </c>
      <c r="K86" s="15">
        <v>30</v>
      </c>
      <c r="L86" s="15"/>
      <c r="M86" s="15" t="e">
        <f>#REF!=L86</f>
        <v>#REF!</v>
      </c>
      <c r="N86" s="15"/>
      <c r="O86" s="15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>
        <v>2</v>
      </c>
      <c r="AI86" s="17">
        <f>SUM(K86, N86:AB86) - AH86</f>
        <v>28</v>
      </c>
      <c r="AJ86" s="2"/>
      <c r="AK86" s="2"/>
      <c r="AL86" s="2"/>
      <c r="AM86" s="2"/>
      <c r="AN86" s="2"/>
      <c r="AO86" s="2"/>
    </row>
    <row r="87" spans="1:41" ht="13.5">
      <c r="A87" s="11">
        <v>190</v>
      </c>
      <c r="B87" s="12" t="s">
        <v>479</v>
      </c>
      <c r="C87" s="11" t="s">
        <v>160</v>
      </c>
      <c r="D87" s="11" t="s">
        <v>106</v>
      </c>
      <c r="E87" s="11" t="s">
        <v>192</v>
      </c>
      <c r="F87" s="13" t="s">
        <v>500</v>
      </c>
      <c r="G87" s="20">
        <v>41000</v>
      </c>
      <c r="H87" s="25" t="s">
        <v>501</v>
      </c>
      <c r="I87" s="11" t="s">
        <v>41</v>
      </c>
      <c r="J87" s="11" t="s">
        <v>42</v>
      </c>
      <c r="K87" s="15">
        <v>4</v>
      </c>
      <c r="L87" s="15">
        <v>4</v>
      </c>
      <c r="M87" s="15" t="e">
        <f>#REF!=L87</f>
        <v>#REF!</v>
      </c>
      <c r="N87" s="15"/>
      <c r="O87" s="15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7">
        <f>SUM(K87, N87:AB87) - AH87</f>
        <v>4</v>
      </c>
      <c r="AJ87" s="2"/>
      <c r="AK87" s="2"/>
      <c r="AL87" s="2"/>
      <c r="AM87" s="2"/>
      <c r="AN87" s="2"/>
      <c r="AO87" s="2"/>
    </row>
    <row r="88" spans="1:41" ht="13.5">
      <c r="A88" s="11">
        <v>176</v>
      </c>
      <c r="B88" s="12" t="s">
        <v>469</v>
      </c>
      <c r="C88" s="11" t="s">
        <v>160</v>
      </c>
      <c r="D88" s="11" t="s">
        <v>95</v>
      </c>
      <c r="E88" s="11" t="s">
        <v>208</v>
      </c>
      <c r="F88" s="11" t="s">
        <v>470</v>
      </c>
      <c r="G88" s="26">
        <v>38000</v>
      </c>
      <c r="H88" s="25" t="s">
        <v>471</v>
      </c>
      <c r="I88" s="11" t="s">
        <v>41</v>
      </c>
      <c r="J88" s="12" t="s">
        <v>164</v>
      </c>
      <c r="K88" s="15">
        <v>3</v>
      </c>
      <c r="L88" s="15">
        <v>3</v>
      </c>
      <c r="M88" s="15" t="e">
        <f>#REF!=L88</f>
        <v>#REF!</v>
      </c>
      <c r="N88" s="15"/>
      <c r="O88" s="15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>
        <v>1</v>
      </c>
      <c r="AI88" s="17">
        <f>SUM(K88, N88:AB88) - AH88</f>
        <v>2</v>
      </c>
      <c r="AJ88" s="2"/>
      <c r="AK88" s="2"/>
      <c r="AL88" s="2"/>
      <c r="AM88" s="2"/>
      <c r="AN88" s="2"/>
      <c r="AO88" s="2"/>
    </row>
    <row r="89" spans="1:41" ht="13.5">
      <c r="A89" s="11">
        <v>223</v>
      </c>
      <c r="B89" s="12" t="s">
        <v>567</v>
      </c>
      <c r="C89" s="11" t="s">
        <v>160</v>
      </c>
      <c r="D89" s="11" t="s">
        <v>246</v>
      </c>
      <c r="E89" s="11" t="s">
        <v>303</v>
      </c>
      <c r="F89" s="13" t="s">
        <v>571</v>
      </c>
      <c r="G89" s="19">
        <v>1500</v>
      </c>
      <c r="H89" s="25" t="s">
        <v>572</v>
      </c>
      <c r="I89" s="11" t="s">
        <v>41</v>
      </c>
      <c r="J89" s="11" t="s">
        <v>42</v>
      </c>
      <c r="K89" s="15">
        <v>60</v>
      </c>
      <c r="L89" s="15">
        <v>60</v>
      </c>
      <c r="M89" s="15" t="e">
        <f>#REF!=L89</f>
        <v>#REF!</v>
      </c>
      <c r="N89" s="15"/>
      <c r="O89" s="15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>
        <v>19</v>
      </c>
      <c r="AI89" s="17">
        <f>SUM(K89, N89:AB89) - AH89</f>
        <v>41</v>
      </c>
      <c r="AJ89" s="2"/>
      <c r="AK89" s="2"/>
      <c r="AL89" s="2"/>
      <c r="AM89" s="2"/>
      <c r="AN89" s="2"/>
      <c r="AO89" s="2"/>
    </row>
    <row r="90" spans="1:41" ht="13.5">
      <c r="A90" s="11">
        <v>192</v>
      </c>
      <c r="B90" s="12" t="s">
        <v>502</v>
      </c>
      <c r="C90" s="11" t="s">
        <v>160</v>
      </c>
      <c r="D90" s="11" t="s">
        <v>246</v>
      </c>
      <c r="E90" s="11" t="s">
        <v>247</v>
      </c>
      <c r="F90" s="13" t="s">
        <v>505</v>
      </c>
      <c r="G90" s="19">
        <v>6800</v>
      </c>
      <c r="H90" s="25" t="s">
        <v>506</v>
      </c>
      <c r="I90" s="11" t="s">
        <v>41</v>
      </c>
      <c r="J90" s="12" t="s">
        <v>164</v>
      </c>
      <c r="K90" s="15">
        <v>10</v>
      </c>
      <c r="L90" s="15">
        <v>10</v>
      </c>
      <c r="M90" s="15" t="e">
        <f>#REF!=L90</f>
        <v>#REF!</v>
      </c>
      <c r="N90" s="15"/>
      <c r="O90" s="1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7">
        <f>SUM(K90, N90:AB90) - AH90</f>
        <v>10</v>
      </c>
      <c r="AJ90" s="2"/>
      <c r="AK90" s="2"/>
      <c r="AL90" s="2"/>
      <c r="AM90" s="2"/>
      <c r="AN90" s="2"/>
      <c r="AO90" s="2"/>
    </row>
    <row r="91" spans="1:41" ht="13.5">
      <c r="A91" s="11">
        <v>73</v>
      </c>
      <c r="B91" s="12" t="s">
        <v>207</v>
      </c>
      <c r="C91" s="11" t="s">
        <v>160</v>
      </c>
      <c r="D91" s="11" t="s">
        <v>95</v>
      </c>
      <c r="E91" s="11" t="s">
        <v>124</v>
      </c>
      <c r="F91" s="11" t="s">
        <v>215</v>
      </c>
      <c r="G91" s="14">
        <v>10000</v>
      </c>
      <c r="H91" s="25" t="s">
        <v>216</v>
      </c>
      <c r="I91" s="11" t="s">
        <v>41</v>
      </c>
      <c r="J91" s="12" t="s">
        <v>164</v>
      </c>
      <c r="K91" s="15">
        <v>3</v>
      </c>
      <c r="L91" s="15"/>
      <c r="M91" s="15" t="e">
        <f>#REF!=L91</f>
        <v>#REF!</v>
      </c>
      <c r="N91" s="15"/>
      <c r="O91" s="15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>
        <v>1</v>
      </c>
      <c r="AI91" s="17">
        <f>SUM(K91, N91:AB91) - AH91</f>
        <v>2</v>
      </c>
      <c r="AJ91" s="2"/>
      <c r="AK91" s="2"/>
      <c r="AL91" s="2"/>
      <c r="AM91" s="2"/>
      <c r="AN91" s="2"/>
      <c r="AO91" s="2"/>
    </row>
    <row r="92" spans="1:41" ht="13.5">
      <c r="A92" s="11">
        <v>150</v>
      </c>
      <c r="B92" s="12" t="s">
        <v>397</v>
      </c>
      <c r="C92" s="11" t="s">
        <v>160</v>
      </c>
      <c r="D92" s="11" t="s">
        <v>77</v>
      </c>
      <c r="E92" s="11" t="s">
        <v>400</v>
      </c>
      <c r="F92" s="11" t="s">
        <v>407</v>
      </c>
      <c r="G92" s="19">
        <v>8900</v>
      </c>
      <c r="H92" s="25" t="s">
        <v>408</v>
      </c>
      <c r="I92" s="11" t="s">
        <v>41</v>
      </c>
      <c r="J92" s="12" t="s">
        <v>164</v>
      </c>
      <c r="K92" s="15">
        <v>2</v>
      </c>
      <c r="L92" s="15"/>
      <c r="M92" s="15"/>
      <c r="N92" s="15"/>
      <c r="O92" s="15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7">
        <f>SUM(K92, N92:AB92) - AH92</f>
        <v>2</v>
      </c>
      <c r="AJ92" s="2"/>
      <c r="AK92" s="2"/>
      <c r="AL92" s="2"/>
      <c r="AM92" s="2"/>
      <c r="AN92" s="2"/>
      <c r="AO92" s="2"/>
    </row>
    <row r="93" spans="1:41" ht="13.5">
      <c r="A93" s="11">
        <v>151</v>
      </c>
      <c r="B93" s="12" t="s">
        <v>397</v>
      </c>
      <c r="C93" s="11" t="s">
        <v>160</v>
      </c>
      <c r="D93" s="11" t="s">
        <v>77</v>
      </c>
      <c r="E93" s="11" t="s">
        <v>400</v>
      </c>
      <c r="F93" s="11" t="s">
        <v>409</v>
      </c>
      <c r="G93" s="19">
        <v>8900</v>
      </c>
      <c r="H93" s="25" t="s">
        <v>410</v>
      </c>
      <c r="I93" s="11" t="s">
        <v>41</v>
      </c>
      <c r="J93" s="12" t="s">
        <v>164</v>
      </c>
      <c r="K93" s="15">
        <v>2</v>
      </c>
      <c r="L93" s="15"/>
      <c r="M93" s="15"/>
      <c r="N93" s="15"/>
      <c r="O93" s="15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7">
        <f>SUM(K93, N93:AB93) - AH93</f>
        <v>2</v>
      </c>
      <c r="AJ93" s="2"/>
      <c r="AK93" s="2"/>
      <c r="AL93" s="2"/>
      <c r="AM93" s="2"/>
      <c r="AN93" s="2"/>
      <c r="AO93" s="2"/>
    </row>
    <row r="94" spans="1:41" ht="13.5">
      <c r="A94" s="11">
        <v>149</v>
      </c>
      <c r="B94" s="12" t="s">
        <v>397</v>
      </c>
      <c r="C94" s="11" t="s">
        <v>160</v>
      </c>
      <c r="D94" s="11" t="s">
        <v>77</v>
      </c>
      <c r="E94" s="11" t="s">
        <v>400</v>
      </c>
      <c r="F94" s="11" t="s">
        <v>405</v>
      </c>
      <c r="G94" s="19">
        <v>8900</v>
      </c>
      <c r="H94" s="25" t="s">
        <v>406</v>
      </c>
      <c r="I94" s="11" t="s">
        <v>41</v>
      </c>
      <c r="J94" s="12" t="s">
        <v>164</v>
      </c>
      <c r="K94" s="15">
        <v>2</v>
      </c>
      <c r="L94" s="15"/>
      <c r="M94" s="15"/>
      <c r="N94" s="15"/>
      <c r="O94" s="15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7">
        <f>SUM(K94, N94:AB94) - AH94</f>
        <v>2</v>
      </c>
      <c r="AJ94" s="2"/>
      <c r="AK94" s="2"/>
      <c r="AL94" s="2"/>
      <c r="AM94" s="2"/>
      <c r="AN94" s="2"/>
      <c r="AO94" s="2"/>
    </row>
    <row r="95" spans="1:41" ht="13.5">
      <c r="A95" s="11">
        <v>147</v>
      </c>
      <c r="B95" s="12" t="s">
        <v>397</v>
      </c>
      <c r="C95" s="11" t="s">
        <v>160</v>
      </c>
      <c r="D95" s="11" t="s">
        <v>77</v>
      </c>
      <c r="E95" s="11" t="s">
        <v>400</v>
      </c>
      <c r="F95" s="11" t="s">
        <v>401</v>
      </c>
      <c r="G95" s="19">
        <v>8900</v>
      </c>
      <c r="H95" s="25" t="s">
        <v>402</v>
      </c>
      <c r="I95" s="11" t="s">
        <v>41</v>
      </c>
      <c r="J95" s="12" t="s">
        <v>164</v>
      </c>
      <c r="K95" s="15">
        <v>2</v>
      </c>
      <c r="L95" s="15">
        <v>10</v>
      </c>
      <c r="M95" s="15" t="e">
        <f>#REF!=L95</f>
        <v>#REF!</v>
      </c>
      <c r="N95" s="15"/>
      <c r="O95" s="15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7">
        <f>SUM(K95, N95:AB95) - AH95</f>
        <v>2</v>
      </c>
      <c r="AJ95" s="2"/>
      <c r="AK95" s="2"/>
      <c r="AL95" s="2"/>
      <c r="AM95" s="2"/>
      <c r="AN95" s="2"/>
      <c r="AO95" s="2"/>
    </row>
    <row r="96" spans="1:41" ht="13.5">
      <c r="A96" s="11">
        <v>152</v>
      </c>
      <c r="B96" s="12" t="s">
        <v>397</v>
      </c>
      <c r="C96" s="11" t="s">
        <v>160</v>
      </c>
      <c r="D96" s="11" t="s">
        <v>77</v>
      </c>
      <c r="E96" s="11" t="s">
        <v>400</v>
      </c>
      <c r="F96" s="25" t="s">
        <v>411</v>
      </c>
      <c r="G96" s="19">
        <v>15900</v>
      </c>
      <c r="H96" s="25" t="s">
        <v>412</v>
      </c>
      <c r="I96" s="11" t="s">
        <v>41</v>
      </c>
      <c r="J96" s="12" t="s">
        <v>164</v>
      </c>
      <c r="K96" s="15">
        <v>5</v>
      </c>
      <c r="L96" s="15">
        <v>5</v>
      </c>
      <c r="M96" s="15" t="e">
        <f>#REF!=L96</f>
        <v>#REF!</v>
      </c>
      <c r="N96" s="15"/>
      <c r="O96" s="15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>
        <v>1</v>
      </c>
      <c r="AI96" s="17">
        <f>SUM(K96, N96:AB96) - AH96</f>
        <v>4</v>
      </c>
      <c r="AJ96" s="2"/>
      <c r="AK96" s="2"/>
      <c r="AL96" s="2"/>
      <c r="AM96" s="2"/>
      <c r="AN96" s="2"/>
      <c r="AO96" s="2"/>
    </row>
    <row r="97" spans="1:41" ht="13.5">
      <c r="A97" s="11">
        <v>148</v>
      </c>
      <c r="B97" s="12" t="s">
        <v>397</v>
      </c>
      <c r="C97" s="11" t="s">
        <v>160</v>
      </c>
      <c r="D97" s="11" t="s">
        <v>77</v>
      </c>
      <c r="E97" s="11" t="s">
        <v>400</v>
      </c>
      <c r="F97" s="11" t="s">
        <v>403</v>
      </c>
      <c r="G97" s="19">
        <v>8900</v>
      </c>
      <c r="H97" s="25" t="s">
        <v>404</v>
      </c>
      <c r="I97" s="11" t="s">
        <v>41</v>
      </c>
      <c r="J97" s="12" t="s">
        <v>164</v>
      </c>
      <c r="K97" s="15">
        <v>2</v>
      </c>
      <c r="L97" s="15"/>
      <c r="M97" s="15"/>
      <c r="N97" s="15"/>
      <c r="O97" s="15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7">
        <f>SUM(K97, N97:AB97) - AH97</f>
        <v>2</v>
      </c>
      <c r="AJ97" s="2"/>
      <c r="AK97" s="2"/>
      <c r="AL97" s="2"/>
      <c r="AM97" s="2"/>
      <c r="AN97" s="2"/>
      <c r="AO97" s="2"/>
    </row>
    <row r="98" spans="1:41" ht="13.5">
      <c r="A98" s="11">
        <v>56</v>
      </c>
      <c r="B98" s="12" t="s">
        <v>159</v>
      </c>
      <c r="C98" s="11" t="s">
        <v>160</v>
      </c>
      <c r="D98" s="11" t="s">
        <v>106</v>
      </c>
      <c r="E98" s="11" t="s">
        <v>121</v>
      </c>
      <c r="F98" s="11" t="s">
        <v>171</v>
      </c>
      <c r="G98" s="14">
        <v>4500</v>
      </c>
      <c r="H98" s="25" t="s">
        <v>172</v>
      </c>
      <c r="I98" s="11" t="s">
        <v>41</v>
      </c>
      <c r="J98" s="12" t="s">
        <v>164</v>
      </c>
      <c r="K98" s="15">
        <v>3</v>
      </c>
      <c r="L98" s="15">
        <v>5</v>
      </c>
      <c r="M98" s="15" t="e">
        <f>#REF!=L98</f>
        <v>#REF!</v>
      </c>
      <c r="N98" s="15"/>
      <c r="O98" s="15"/>
      <c r="P98" s="16"/>
      <c r="Q98" s="16"/>
      <c r="R98" s="16"/>
      <c r="S98" s="16"/>
      <c r="T98" s="16">
        <v>10</v>
      </c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>
        <v>6</v>
      </c>
      <c r="AI98" s="17">
        <f>SUM(K98, N98:AB98) - AH98</f>
        <v>7</v>
      </c>
      <c r="AJ98" s="2"/>
      <c r="AK98" s="2"/>
      <c r="AL98" s="2"/>
      <c r="AM98" s="2"/>
      <c r="AN98" s="2"/>
      <c r="AO98" s="2"/>
    </row>
    <row r="99" spans="1:41" ht="13.5">
      <c r="A99" s="11">
        <v>180</v>
      </c>
      <c r="B99" s="12" t="s">
        <v>479</v>
      </c>
      <c r="C99" s="11" t="s">
        <v>160</v>
      </c>
      <c r="D99" s="11" t="s">
        <v>106</v>
      </c>
      <c r="E99" s="11" t="s">
        <v>192</v>
      </c>
      <c r="F99" s="13" t="s">
        <v>480</v>
      </c>
      <c r="G99" s="19">
        <v>4900</v>
      </c>
      <c r="H99" s="25" t="s">
        <v>481</v>
      </c>
      <c r="I99" s="11" t="s">
        <v>41</v>
      </c>
      <c r="J99" s="11" t="s">
        <v>42</v>
      </c>
      <c r="K99" s="15">
        <v>10</v>
      </c>
      <c r="L99" s="15">
        <v>10</v>
      </c>
      <c r="M99" s="15" t="e">
        <f>#REF!=L99</f>
        <v>#REF!</v>
      </c>
      <c r="N99" s="15"/>
      <c r="O99" s="15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>
        <v>3</v>
      </c>
      <c r="AI99" s="17">
        <f>SUM(K99, N99:AB99) - AH99</f>
        <v>7</v>
      </c>
      <c r="AJ99" s="2"/>
      <c r="AK99" s="2"/>
      <c r="AL99" s="2"/>
      <c r="AM99" s="2"/>
      <c r="AN99" s="2"/>
      <c r="AO99" s="2"/>
    </row>
    <row r="100" spans="1:41" ht="13.5">
      <c r="A100" s="11">
        <v>181</v>
      </c>
      <c r="B100" s="12" t="s">
        <v>479</v>
      </c>
      <c r="C100" s="11" t="s">
        <v>160</v>
      </c>
      <c r="D100" s="11" t="s">
        <v>106</v>
      </c>
      <c r="E100" s="11" t="s">
        <v>192</v>
      </c>
      <c r="F100" s="13" t="s">
        <v>482</v>
      </c>
      <c r="G100" s="19">
        <v>4900</v>
      </c>
      <c r="H100" s="25" t="s">
        <v>483</v>
      </c>
      <c r="I100" s="11" t="s">
        <v>41</v>
      </c>
      <c r="J100" s="11" t="s">
        <v>42</v>
      </c>
      <c r="K100" s="15">
        <v>10</v>
      </c>
      <c r="L100" s="15">
        <v>10</v>
      </c>
      <c r="M100" s="15" t="e">
        <f>#REF!=L100</f>
        <v>#REF!</v>
      </c>
      <c r="N100" s="15"/>
      <c r="O100" s="15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7">
        <f>SUM(K100, N100:AB100) - AH100</f>
        <v>10</v>
      </c>
      <c r="AJ100" s="2"/>
      <c r="AK100" s="2"/>
      <c r="AL100" s="2"/>
      <c r="AM100" s="2"/>
      <c r="AN100" s="2"/>
      <c r="AO100" s="2"/>
    </row>
    <row r="101" spans="1:41" ht="13.5">
      <c r="A101" s="11">
        <v>182</v>
      </c>
      <c r="B101" s="12" t="s">
        <v>479</v>
      </c>
      <c r="C101" s="11" t="s">
        <v>160</v>
      </c>
      <c r="D101" s="11" t="s">
        <v>106</v>
      </c>
      <c r="E101" s="11" t="s">
        <v>192</v>
      </c>
      <c r="F101" s="13" t="s">
        <v>484</v>
      </c>
      <c r="G101" s="19">
        <v>4900</v>
      </c>
      <c r="H101" s="25" t="s">
        <v>485</v>
      </c>
      <c r="I101" s="11" t="s">
        <v>41</v>
      </c>
      <c r="J101" s="11" t="s">
        <v>42</v>
      </c>
      <c r="K101" s="15">
        <v>10</v>
      </c>
      <c r="L101" s="15">
        <v>10</v>
      </c>
      <c r="M101" s="15" t="e">
        <f>#REF!=L101</f>
        <v>#REF!</v>
      </c>
      <c r="N101" s="15"/>
      <c r="O101" s="15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v>10</v>
      </c>
      <c r="AA101" s="16"/>
      <c r="AB101" s="16"/>
      <c r="AC101" s="16"/>
      <c r="AD101" s="16"/>
      <c r="AE101" s="16"/>
      <c r="AF101" s="16"/>
      <c r="AG101" s="16"/>
      <c r="AH101" s="16">
        <v>7</v>
      </c>
      <c r="AI101" s="17">
        <f>SUM(K101, N101:AB101) - AH101</f>
        <v>13</v>
      </c>
      <c r="AJ101" s="2"/>
      <c r="AK101" s="2"/>
      <c r="AL101" s="2"/>
      <c r="AM101" s="2"/>
      <c r="AN101" s="2"/>
      <c r="AO101" s="2"/>
    </row>
    <row r="102" spans="1:41" ht="13.5">
      <c r="A102" s="11">
        <v>184</v>
      </c>
      <c r="B102" s="12" t="s">
        <v>479</v>
      </c>
      <c r="C102" s="11" t="s">
        <v>160</v>
      </c>
      <c r="D102" s="11" t="s">
        <v>106</v>
      </c>
      <c r="E102" s="11" t="s">
        <v>192</v>
      </c>
      <c r="F102" s="13" t="s">
        <v>488</v>
      </c>
      <c r="G102" s="19">
        <v>4900</v>
      </c>
      <c r="H102" s="25" t="s">
        <v>489</v>
      </c>
      <c r="I102" s="11" t="s">
        <v>41</v>
      </c>
      <c r="J102" s="11" t="s">
        <v>42</v>
      </c>
      <c r="K102" s="15">
        <v>10</v>
      </c>
      <c r="L102" s="15">
        <v>10</v>
      </c>
      <c r="M102" s="15" t="e">
        <f>#REF!=L102</f>
        <v>#REF!</v>
      </c>
      <c r="N102" s="15"/>
      <c r="O102" s="15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v>40</v>
      </c>
      <c r="AA102" s="16"/>
      <c r="AB102" s="16"/>
      <c r="AC102" s="16"/>
      <c r="AD102" s="16"/>
      <c r="AE102" s="16"/>
      <c r="AF102" s="16"/>
      <c r="AG102" s="16"/>
      <c r="AH102" s="16">
        <v>13</v>
      </c>
      <c r="AI102" s="17">
        <f>SUM(K102, N102:AB102) - AH102</f>
        <v>37</v>
      </c>
      <c r="AJ102" s="2"/>
      <c r="AK102" s="2"/>
      <c r="AL102" s="2"/>
      <c r="AM102" s="2"/>
      <c r="AN102" s="2"/>
      <c r="AO102" s="2"/>
    </row>
    <row r="103" spans="1:41" ht="13.5">
      <c r="A103" s="11">
        <v>183</v>
      </c>
      <c r="B103" s="12" t="s">
        <v>479</v>
      </c>
      <c r="C103" s="11" t="s">
        <v>160</v>
      </c>
      <c r="D103" s="11" t="s">
        <v>106</v>
      </c>
      <c r="E103" s="11" t="s">
        <v>192</v>
      </c>
      <c r="F103" s="13" t="s">
        <v>486</v>
      </c>
      <c r="G103" s="19">
        <v>4900</v>
      </c>
      <c r="H103" s="25" t="s">
        <v>487</v>
      </c>
      <c r="I103" s="11" t="s">
        <v>41</v>
      </c>
      <c r="J103" s="11" t="s">
        <v>42</v>
      </c>
      <c r="K103" s="15">
        <v>10</v>
      </c>
      <c r="L103" s="15">
        <v>10</v>
      </c>
      <c r="M103" s="15" t="e">
        <f>#REF!=L103</f>
        <v>#REF!</v>
      </c>
      <c r="N103" s="15"/>
      <c r="O103" s="15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>
        <v>3</v>
      </c>
      <c r="AI103" s="17">
        <f>SUM(K103, N103:AB103) - AH103</f>
        <v>7</v>
      </c>
      <c r="AJ103" s="2"/>
      <c r="AK103" s="2"/>
      <c r="AL103" s="2"/>
      <c r="AM103" s="2"/>
      <c r="AN103" s="2"/>
      <c r="AO103" s="2"/>
    </row>
    <row r="104" spans="1:41" ht="13.5">
      <c r="A104" s="11">
        <v>188</v>
      </c>
      <c r="B104" s="12" t="s">
        <v>479</v>
      </c>
      <c r="C104" s="11" t="s">
        <v>160</v>
      </c>
      <c r="D104" s="11" t="s">
        <v>106</v>
      </c>
      <c r="E104" s="11" t="s">
        <v>192</v>
      </c>
      <c r="F104" s="13" t="s">
        <v>496</v>
      </c>
      <c r="G104" s="19">
        <v>4900</v>
      </c>
      <c r="H104" s="25" t="s">
        <v>497</v>
      </c>
      <c r="I104" s="11" t="s">
        <v>41</v>
      </c>
      <c r="J104" s="11" t="s">
        <v>42</v>
      </c>
      <c r="K104" s="15">
        <v>10</v>
      </c>
      <c r="L104" s="15">
        <v>10</v>
      </c>
      <c r="M104" s="15" t="e">
        <f>#REF!=L104</f>
        <v>#REF!</v>
      </c>
      <c r="N104" s="15"/>
      <c r="O104" s="15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>
        <v>6</v>
      </c>
      <c r="AI104" s="17">
        <f>SUM(K104, N104:AB104) - AH104</f>
        <v>4</v>
      </c>
      <c r="AJ104" s="2"/>
      <c r="AK104" s="2"/>
      <c r="AL104" s="2"/>
      <c r="AM104" s="2"/>
      <c r="AN104" s="2"/>
      <c r="AO104" s="2"/>
    </row>
    <row r="105" spans="1:41" ht="13.5">
      <c r="A105" s="11">
        <v>185</v>
      </c>
      <c r="B105" s="12" t="s">
        <v>479</v>
      </c>
      <c r="C105" s="11" t="s">
        <v>160</v>
      </c>
      <c r="D105" s="11" t="s">
        <v>106</v>
      </c>
      <c r="E105" s="11" t="s">
        <v>192</v>
      </c>
      <c r="F105" s="13" t="s">
        <v>490</v>
      </c>
      <c r="G105" s="19">
        <v>4900</v>
      </c>
      <c r="H105" s="25" t="s">
        <v>491</v>
      </c>
      <c r="I105" s="11" t="s">
        <v>41</v>
      </c>
      <c r="J105" s="11" t="s">
        <v>42</v>
      </c>
      <c r="K105" s="15">
        <v>10</v>
      </c>
      <c r="L105" s="15">
        <v>10</v>
      </c>
      <c r="M105" s="15" t="e">
        <f>#REF!=L105</f>
        <v>#REF!</v>
      </c>
      <c r="N105" s="15"/>
      <c r="O105" s="15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v>20</v>
      </c>
      <c r="AA105" s="16"/>
      <c r="AB105" s="16"/>
      <c r="AC105" s="16"/>
      <c r="AD105" s="16"/>
      <c r="AE105" s="16"/>
      <c r="AF105" s="16"/>
      <c r="AG105" s="16"/>
      <c r="AH105" s="16">
        <v>10</v>
      </c>
      <c r="AI105" s="17">
        <f>SUM(K105, N105:AB105) - AH105</f>
        <v>20</v>
      </c>
      <c r="AJ105" s="2"/>
      <c r="AK105" s="2"/>
      <c r="AL105" s="2"/>
      <c r="AM105" s="2"/>
      <c r="AN105" s="2"/>
      <c r="AO105" s="2"/>
    </row>
    <row r="106" spans="1:41" ht="13.5">
      <c r="A106" s="11">
        <v>187</v>
      </c>
      <c r="B106" s="12" t="s">
        <v>479</v>
      </c>
      <c r="C106" s="11" t="s">
        <v>160</v>
      </c>
      <c r="D106" s="11" t="s">
        <v>106</v>
      </c>
      <c r="E106" s="11" t="s">
        <v>192</v>
      </c>
      <c r="F106" s="13" t="s">
        <v>494</v>
      </c>
      <c r="G106" s="19">
        <v>4900</v>
      </c>
      <c r="H106" s="25" t="s">
        <v>495</v>
      </c>
      <c r="I106" s="11" t="s">
        <v>41</v>
      </c>
      <c r="J106" s="11" t="s">
        <v>42</v>
      </c>
      <c r="K106" s="15">
        <v>10</v>
      </c>
      <c r="L106" s="15">
        <v>10</v>
      </c>
      <c r="M106" s="15" t="e">
        <f>#REF!=L106</f>
        <v>#REF!</v>
      </c>
      <c r="N106" s="15"/>
      <c r="O106" s="15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>
        <v>10</v>
      </c>
      <c r="AA106" s="16"/>
      <c r="AB106" s="16"/>
      <c r="AC106" s="16"/>
      <c r="AD106" s="16"/>
      <c r="AE106" s="16"/>
      <c r="AF106" s="16"/>
      <c r="AG106" s="16"/>
      <c r="AH106" s="16">
        <v>8</v>
      </c>
      <c r="AI106" s="17">
        <f>SUM(K106, N106:AB106) - AH106</f>
        <v>12</v>
      </c>
      <c r="AJ106" s="2"/>
      <c r="AK106" s="2"/>
      <c r="AL106" s="2"/>
      <c r="AM106" s="2"/>
      <c r="AN106" s="2"/>
      <c r="AO106" s="2"/>
    </row>
    <row r="107" spans="1:41" ht="13.5">
      <c r="A107" s="11">
        <v>186</v>
      </c>
      <c r="B107" s="12" t="s">
        <v>479</v>
      </c>
      <c r="C107" s="11" t="s">
        <v>160</v>
      </c>
      <c r="D107" s="11" t="s">
        <v>106</v>
      </c>
      <c r="E107" s="11" t="s">
        <v>192</v>
      </c>
      <c r="F107" s="13" t="s">
        <v>492</v>
      </c>
      <c r="G107" s="19">
        <v>4900</v>
      </c>
      <c r="H107" s="25" t="s">
        <v>493</v>
      </c>
      <c r="I107" s="11" t="s">
        <v>41</v>
      </c>
      <c r="J107" s="11" t="s">
        <v>42</v>
      </c>
      <c r="K107" s="15">
        <v>10</v>
      </c>
      <c r="L107" s="15">
        <v>10</v>
      </c>
      <c r="M107" s="15" t="e">
        <f>#REF!=L107</f>
        <v>#REF!</v>
      </c>
      <c r="N107" s="15"/>
      <c r="O107" s="15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v>20</v>
      </c>
      <c r="AA107" s="16"/>
      <c r="AB107" s="16"/>
      <c r="AC107" s="16"/>
      <c r="AD107" s="16"/>
      <c r="AE107" s="16"/>
      <c r="AF107" s="16"/>
      <c r="AG107" s="16"/>
      <c r="AH107" s="16">
        <v>7</v>
      </c>
      <c r="AI107" s="17">
        <f>SUM(K107, N107:AB107) - AH107</f>
        <v>23</v>
      </c>
      <c r="AJ107" s="2"/>
      <c r="AK107" s="2"/>
      <c r="AL107" s="2"/>
      <c r="AM107" s="2"/>
      <c r="AN107" s="2"/>
      <c r="AO107" s="2"/>
    </row>
    <row r="108" spans="1:41" ht="13.5">
      <c r="A108" s="11">
        <v>121</v>
      </c>
      <c r="B108" s="12" t="s">
        <v>308</v>
      </c>
      <c r="C108" s="11" t="s">
        <v>160</v>
      </c>
      <c r="D108" s="11" t="s">
        <v>229</v>
      </c>
      <c r="E108" s="11" t="s">
        <v>333</v>
      </c>
      <c r="F108" s="11" t="s">
        <v>336</v>
      </c>
      <c r="G108" s="14">
        <v>6000</v>
      </c>
      <c r="H108" s="25" t="s">
        <v>337</v>
      </c>
      <c r="I108" s="11" t="s">
        <v>41</v>
      </c>
      <c r="J108" s="12" t="s">
        <v>164</v>
      </c>
      <c r="K108" s="15">
        <v>5</v>
      </c>
      <c r="L108" s="15">
        <v>5</v>
      </c>
      <c r="M108" s="15" t="e">
        <f>#REF!=L108</f>
        <v>#REF!</v>
      </c>
      <c r="N108" s="15"/>
      <c r="O108" s="15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>
        <v>1</v>
      </c>
      <c r="AI108" s="17">
        <f>SUM(K108, N108:AB108) - AH108</f>
        <v>4</v>
      </c>
      <c r="AJ108" s="2"/>
      <c r="AK108" s="2"/>
      <c r="AL108" s="2"/>
      <c r="AM108" s="2"/>
      <c r="AN108" s="2"/>
      <c r="AO108" s="2"/>
    </row>
    <row r="109" spans="1:41" ht="13.5">
      <c r="A109" s="11">
        <v>122</v>
      </c>
      <c r="B109" s="12" t="s">
        <v>308</v>
      </c>
      <c r="C109" s="11" t="s">
        <v>160</v>
      </c>
      <c r="D109" s="11" t="s">
        <v>229</v>
      </c>
      <c r="E109" s="11" t="s">
        <v>333</v>
      </c>
      <c r="F109" s="11" t="s">
        <v>338</v>
      </c>
      <c r="G109" s="14">
        <v>6000</v>
      </c>
      <c r="H109" s="25" t="s">
        <v>339</v>
      </c>
      <c r="I109" s="11" t="s">
        <v>41</v>
      </c>
      <c r="J109" s="12" t="s">
        <v>164</v>
      </c>
      <c r="K109" s="15">
        <v>5</v>
      </c>
      <c r="L109" s="15">
        <v>5</v>
      </c>
      <c r="M109" s="15" t="e">
        <f>#REF!=L109</f>
        <v>#REF!</v>
      </c>
      <c r="N109" s="15"/>
      <c r="O109" s="15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>
        <v>1</v>
      </c>
      <c r="AI109" s="17">
        <f>SUM(K109, N109:AB109) - AH109</f>
        <v>4</v>
      </c>
      <c r="AJ109" s="2"/>
      <c r="AK109" s="2"/>
      <c r="AL109" s="2"/>
      <c r="AM109" s="2"/>
      <c r="AN109" s="2"/>
      <c r="AO109" s="2"/>
    </row>
    <row r="110" spans="1:41" ht="13.5">
      <c r="A110" s="11">
        <v>120</v>
      </c>
      <c r="B110" s="12" t="s">
        <v>308</v>
      </c>
      <c r="C110" s="11" t="s">
        <v>160</v>
      </c>
      <c r="D110" s="11" t="s">
        <v>229</v>
      </c>
      <c r="E110" s="11" t="s">
        <v>333</v>
      </c>
      <c r="F110" s="11" t="s">
        <v>334</v>
      </c>
      <c r="G110" s="14">
        <v>6000</v>
      </c>
      <c r="H110" s="25" t="s">
        <v>335</v>
      </c>
      <c r="I110" s="11" t="s">
        <v>41</v>
      </c>
      <c r="J110" s="12" t="s">
        <v>164</v>
      </c>
      <c r="K110" s="15">
        <v>5</v>
      </c>
      <c r="L110" s="15">
        <v>5</v>
      </c>
      <c r="M110" s="15" t="e">
        <f>#REF!=L110</f>
        <v>#REF!</v>
      </c>
      <c r="N110" s="15"/>
      <c r="O110" s="15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>
        <v>5</v>
      </c>
      <c r="AI110" s="17">
        <f>SUM(K110, N110:AB110) - AH110</f>
        <v>0</v>
      </c>
      <c r="AJ110" s="2"/>
      <c r="AK110" s="2"/>
      <c r="AL110" s="2"/>
      <c r="AM110" s="2"/>
      <c r="AN110" s="2"/>
      <c r="AO110" s="2"/>
    </row>
    <row r="111" spans="1:41" ht="13.5">
      <c r="A111" s="11">
        <v>163</v>
      </c>
      <c r="B111" s="12" t="s">
        <v>427</v>
      </c>
      <c r="C111" s="11" t="s">
        <v>160</v>
      </c>
      <c r="D111" s="11" t="s">
        <v>106</v>
      </c>
      <c r="E111" s="11" t="s">
        <v>192</v>
      </c>
      <c r="F111" s="13" t="s">
        <v>436</v>
      </c>
      <c r="G111" s="19">
        <v>3900</v>
      </c>
      <c r="H111" s="25" t="s">
        <v>437</v>
      </c>
      <c r="I111" s="11" t="s">
        <v>41</v>
      </c>
      <c r="J111" s="12" t="s">
        <v>164</v>
      </c>
      <c r="K111" s="15">
        <v>6</v>
      </c>
      <c r="L111" s="15"/>
      <c r="M111" s="15"/>
      <c r="N111" s="15"/>
      <c r="O111" s="15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>
        <v>5</v>
      </c>
      <c r="AI111" s="17">
        <f>SUM(K111, N111:AB111) - AH111</f>
        <v>1</v>
      </c>
      <c r="AJ111" s="2"/>
      <c r="AK111" s="2"/>
      <c r="AL111" s="2"/>
      <c r="AM111" s="2"/>
      <c r="AN111" s="2"/>
      <c r="AO111" s="2"/>
    </row>
    <row r="112" spans="1:41" ht="13.5">
      <c r="A112" s="11">
        <v>162</v>
      </c>
      <c r="B112" s="12" t="s">
        <v>427</v>
      </c>
      <c r="C112" s="11" t="s">
        <v>160</v>
      </c>
      <c r="D112" s="11" t="s">
        <v>106</v>
      </c>
      <c r="E112" s="11" t="s">
        <v>192</v>
      </c>
      <c r="F112" s="13" t="s">
        <v>434</v>
      </c>
      <c r="G112" s="19">
        <v>3900</v>
      </c>
      <c r="H112" s="25" t="s">
        <v>435</v>
      </c>
      <c r="I112" s="11" t="s">
        <v>41</v>
      </c>
      <c r="J112" s="12" t="s">
        <v>164</v>
      </c>
      <c r="K112" s="15">
        <v>6</v>
      </c>
      <c r="L112" s="15"/>
      <c r="M112" s="15"/>
      <c r="N112" s="15"/>
      <c r="O112" s="15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>
        <v>6</v>
      </c>
      <c r="AI112" s="17">
        <f>SUM(K112, N112:AB112) - AH112</f>
        <v>0</v>
      </c>
      <c r="AJ112" s="2"/>
      <c r="AK112" s="2"/>
      <c r="AL112" s="2"/>
      <c r="AM112" s="2"/>
      <c r="AN112" s="2"/>
      <c r="AO112" s="2"/>
    </row>
    <row r="113" spans="1:41" ht="13.5">
      <c r="A113" s="11">
        <v>161</v>
      </c>
      <c r="B113" s="12" t="s">
        <v>427</v>
      </c>
      <c r="C113" s="11" t="s">
        <v>160</v>
      </c>
      <c r="D113" s="11" t="s">
        <v>106</v>
      </c>
      <c r="E113" s="11" t="s">
        <v>192</v>
      </c>
      <c r="F113" s="13" t="s">
        <v>432</v>
      </c>
      <c r="G113" s="19">
        <v>3900</v>
      </c>
      <c r="H113" s="25" t="s">
        <v>433</v>
      </c>
      <c r="I113" s="11" t="s">
        <v>41</v>
      </c>
      <c r="J113" s="12" t="s">
        <v>164</v>
      </c>
      <c r="K113" s="15">
        <v>5</v>
      </c>
      <c r="L113" s="15">
        <v>20</v>
      </c>
      <c r="M113" s="15" t="e">
        <f>#REF!=L113</f>
        <v>#REF!</v>
      </c>
      <c r="N113" s="15"/>
      <c r="O113" s="15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>
        <v>6</v>
      </c>
      <c r="AI113" s="17">
        <f>SUM(K113, N113:AB113) - AH113</f>
        <v>-1</v>
      </c>
      <c r="AJ113" s="2"/>
      <c r="AK113" s="2"/>
      <c r="AL113" s="2"/>
      <c r="AM113" s="2"/>
      <c r="AN113" s="2"/>
      <c r="AO113" s="2"/>
    </row>
    <row r="114" spans="1:41" ht="13.5">
      <c r="A114" s="11">
        <v>159</v>
      </c>
      <c r="B114" s="12" t="s">
        <v>427</v>
      </c>
      <c r="C114" s="11" t="s">
        <v>160</v>
      </c>
      <c r="D114" s="11" t="s">
        <v>95</v>
      </c>
      <c r="E114" s="11" t="s">
        <v>96</v>
      </c>
      <c r="F114" s="13" t="s">
        <v>428</v>
      </c>
      <c r="G114" s="19">
        <v>3900</v>
      </c>
      <c r="H114" s="25" t="s">
        <v>429</v>
      </c>
      <c r="I114" s="11" t="s">
        <v>41</v>
      </c>
      <c r="J114" s="12" t="s">
        <v>164</v>
      </c>
      <c r="K114" s="15">
        <v>20</v>
      </c>
      <c r="L114" s="15">
        <v>20</v>
      </c>
      <c r="M114" s="15" t="e">
        <f>#REF!=L114</f>
        <v>#REF!</v>
      </c>
      <c r="N114" s="15"/>
      <c r="O114" s="15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>
        <v>5</v>
      </c>
      <c r="AI114" s="17">
        <f>SUM(K114, N114:AB114) - AH114</f>
        <v>15</v>
      </c>
      <c r="AJ114" s="2"/>
      <c r="AK114" s="2"/>
      <c r="AL114" s="2"/>
      <c r="AM114" s="2"/>
      <c r="AN114" s="2"/>
      <c r="AO114" s="2"/>
    </row>
    <row r="115" spans="1:41" ht="13.5">
      <c r="A115" s="11">
        <v>164</v>
      </c>
      <c r="B115" s="12" t="s">
        <v>427</v>
      </c>
      <c r="C115" s="11" t="s">
        <v>160</v>
      </c>
      <c r="D115" s="11" t="s">
        <v>106</v>
      </c>
      <c r="E115" s="11" t="s">
        <v>438</v>
      </c>
      <c r="F115" s="13" t="s">
        <v>439</v>
      </c>
      <c r="G115" s="19">
        <v>14900</v>
      </c>
      <c r="H115" s="25" t="s">
        <v>440</v>
      </c>
      <c r="I115" s="11" t="s">
        <v>41</v>
      </c>
      <c r="J115" s="12" t="s">
        <v>164</v>
      </c>
      <c r="K115" s="15">
        <v>20</v>
      </c>
      <c r="L115" s="15">
        <v>20</v>
      </c>
      <c r="M115" s="15" t="e">
        <f>#REF!=L115</f>
        <v>#REF!</v>
      </c>
      <c r="N115" s="15"/>
      <c r="O115" s="15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>
        <v>7</v>
      </c>
      <c r="AI115" s="17">
        <f>SUM(K115, N115:AB115) - AH115</f>
        <v>13</v>
      </c>
      <c r="AJ115" s="2"/>
      <c r="AK115" s="2"/>
      <c r="AL115" s="2"/>
      <c r="AM115" s="2"/>
      <c r="AN115" s="2"/>
      <c r="AO115" s="2"/>
    </row>
    <row r="116" spans="1:41" ht="13.5">
      <c r="A116" s="11">
        <v>160</v>
      </c>
      <c r="B116" s="12" t="s">
        <v>427</v>
      </c>
      <c r="C116" s="11" t="s">
        <v>160</v>
      </c>
      <c r="D116" s="11" t="s">
        <v>95</v>
      </c>
      <c r="E116" s="11" t="s">
        <v>96</v>
      </c>
      <c r="F116" s="13" t="s">
        <v>430</v>
      </c>
      <c r="G116" s="19">
        <v>12000</v>
      </c>
      <c r="H116" s="25" t="s">
        <v>431</v>
      </c>
      <c r="I116" s="11" t="s">
        <v>41</v>
      </c>
      <c r="J116" s="12" t="s">
        <v>164</v>
      </c>
      <c r="K116" s="15">
        <v>20</v>
      </c>
      <c r="L116" s="15">
        <v>20</v>
      </c>
      <c r="M116" s="15" t="e">
        <f>#REF!=L116</f>
        <v>#REF!</v>
      </c>
      <c r="N116" s="15"/>
      <c r="O116" s="15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>
        <v>3</v>
      </c>
      <c r="AI116" s="17">
        <f>SUM(K116, N116:AB116) - AH116</f>
        <v>17</v>
      </c>
      <c r="AJ116" s="2"/>
      <c r="AK116" s="2"/>
      <c r="AL116" s="2"/>
      <c r="AM116" s="2"/>
      <c r="AN116" s="2"/>
      <c r="AO116" s="2"/>
    </row>
    <row r="117" spans="1:41" ht="13.5">
      <c r="A117" s="11">
        <v>210</v>
      </c>
      <c r="B117" s="12" t="s">
        <v>507</v>
      </c>
      <c r="C117" s="11" t="s">
        <v>160</v>
      </c>
      <c r="D117" s="11" t="s">
        <v>99</v>
      </c>
      <c r="E117" s="11" t="s">
        <v>100</v>
      </c>
      <c r="F117" s="13" t="s">
        <v>543</v>
      </c>
      <c r="G117" s="19">
        <v>6900</v>
      </c>
      <c r="H117" s="25" t="s">
        <v>544</v>
      </c>
      <c r="I117" s="11" t="s">
        <v>41</v>
      </c>
      <c r="J117" s="12" t="s">
        <v>164</v>
      </c>
      <c r="K117" s="15">
        <v>10</v>
      </c>
      <c r="L117" s="15">
        <v>1</v>
      </c>
      <c r="M117" s="15" t="e">
        <f>#REF!=L117</f>
        <v>#REF!</v>
      </c>
      <c r="N117" s="15"/>
      <c r="O117" s="15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7">
        <f>SUM(K117, N117:AB117) - AH117</f>
        <v>10</v>
      </c>
      <c r="AJ117" s="2"/>
      <c r="AK117" s="2"/>
      <c r="AL117" s="2"/>
      <c r="AM117" s="2"/>
      <c r="AN117" s="2"/>
      <c r="AO117" s="2"/>
    </row>
    <row r="118" spans="1:41" ht="13.5">
      <c r="A118" s="11">
        <v>211</v>
      </c>
      <c r="B118" s="12" t="s">
        <v>507</v>
      </c>
      <c r="C118" s="11" t="s">
        <v>160</v>
      </c>
      <c r="D118" s="11" t="s">
        <v>99</v>
      </c>
      <c r="E118" s="11" t="s">
        <v>100</v>
      </c>
      <c r="F118" s="13" t="s">
        <v>545</v>
      </c>
      <c r="G118" s="19">
        <v>6900</v>
      </c>
      <c r="H118" s="25" t="s">
        <v>546</v>
      </c>
      <c r="I118" s="11" t="s">
        <v>41</v>
      </c>
      <c r="J118" s="12" t="s">
        <v>164</v>
      </c>
      <c r="K118" s="15">
        <v>10</v>
      </c>
      <c r="L118" s="15">
        <v>1</v>
      </c>
      <c r="M118" s="15" t="e">
        <f>#REF!=L118</f>
        <v>#REF!</v>
      </c>
      <c r="N118" s="15"/>
      <c r="O118" s="15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>
        <v>1</v>
      </c>
      <c r="AI118" s="17">
        <f>SUM(K118, N118:AB118) - AH118</f>
        <v>9</v>
      </c>
      <c r="AJ118" s="2"/>
      <c r="AK118" s="2"/>
      <c r="AL118" s="2"/>
      <c r="AM118" s="2"/>
      <c r="AN118" s="2"/>
      <c r="AO118" s="2"/>
    </row>
    <row r="119" spans="1:41" ht="13.5">
      <c r="A119" s="11">
        <v>215</v>
      </c>
      <c r="B119" s="12" t="s">
        <v>507</v>
      </c>
      <c r="C119" s="11" t="s">
        <v>160</v>
      </c>
      <c r="D119" s="11" t="s">
        <v>99</v>
      </c>
      <c r="E119" s="11" t="s">
        <v>224</v>
      </c>
      <c r="F119" s="13" t="s">
        <v>553</v>
      </c>
      <c r="G119" s="19">
        <v>6900</v>
      </c>
      <c r="H119" s="25" t="s">
        <v>554</v>
      </c>
      <c r="I119" s="11" t="s">
        <v>41</v>
      </c>
      <c r="J119" s="12" t="s">
        <v>164</v>
      </c>
      <c r="K119" s="15">
        <v>2</v>
      </c>
      <c r="L119" s="15">
        <v>2</v>
      </c>
      <c r="M119" s="15" t="e">
        <f>#REF!=L119</f>
        <v>#REF!</v>
      </c>
      <c r="N119" s="15"/>
      <c r="O119" s="15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7">
        <f>SUM(K119, N119:AB119) - AH119</f>
        <v>2</v>
      </c>
      <c r="AJ119" s="2"/>
      <c r="AK119" s="2"/>
      <c r="AL119" s="2"/>
      <c r="AM119" s="2"/>
      <c r="AN119" s="2"/>
      <c r="AO119" s="2"/>
    </row>
    <row r="120" spans="1:41" ht="13.5">
      <c r="A120" s="11">
        <v>213</v>
      </c>
      <c r="B120" s="12" t="s">
        <v>507</v>
      </c>
      <c r="C120" s="11" t="s">
        <v>160</v>
      </c>
      <c r="D120" s="11" t="s">
        <v>99</v>
      </c>
      <c r="E120" s="11" t="s">
        <v>224</v>
      </c>
      <c r="F120" s="13" t="s">
        <v>549</v>
      </c>
      <c r="G120" s="19">
        <v>6900</v>
      </c>
      <c r="H120" s="25" t="s">
        <v>550</v>
      </c>
      <c r="I120" s="11" t="s">
        <v>41</v>
      </c>
      <c r="J120" s="12" t="s">
        <v>164</v>
      </c>
      <c r="K120" s="15">
        <v>2</v>
      </c>
      <c r="L120" s="15">
        <v>2</v>
      </c>
      <c r="M120" s="15" t="e">
        <f>#REF!=L120</f>
        <v>#REF!</v>
      </c>
      <c r="N120" s="15"/>
      <c r="O120" s="15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7">
        <f>SUM(K120, N120:AB120) - AH120</f>
        <v>2</v>
      </c>
      <c r="AJ120" s="2"/>
      <c r="AK120" s="2"/>
      <c r="AL120" s="2"/>
      <c r="AM120" s="2"/>
      <c r="AN120" s="2"/>
      <c r="AO120" s="2"/>
    </row>
    <row r="121" spans="1:41" ht="13.5">
      <c r="A121" s="11">
        <v>216</v>
      </c>
      <c r="B121" s="12" t="s">
        <v>507</v>
      </c>
      <c r="C121" s="11" t="s">
        <v>160</v>
      </c>
      <c r="D121" s="11" t="s">
        <v>99</v>
      </c>
      <c r="E121" s="11" t="s">
        <v>224</v>
      </c>
      <c r="F121" s="13" t="s">
        <v>555</v>
      </c>
      <c r="G121" s="19">
        <v>6900</v>
      </c>
      <c r="H121" s="25" t="s">
        <v>556</v>
      </c>
      <c r="I121" s="11" t="s">
        <v>41</v>
      </c>
      <c r="J121" s="12" t="s">
        <v>164</v>
      </c>
      <c r="K121" s="15">
        <v>2</v>
      </c>
      <c r="L121" s="15">
        <v>2</v>
      </c>
      <c r="M121" s="15" t="e">
        <f>#REF!=L121</f>
        <v>#REF!</v>
      </c>
      <c r="N121" s="15"/>
      <c r="O121" s="15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7">
        <f>SUM(K121, N121:AB121) - AH121</f>
        <v>2</v>
      </c>
      <c r="AJ121" s="2"/>
      <c r="AK121" s="2"/>
      <c r="AL121" s="2"/>
      <c r="AM121" s="2"/>
      <c r="AN121" s="2"/>
      <c r="AO121" s="2"/>
    </row>
    <row r="122" spans="1:41" ht="13.5">
      <c r="A122" s="11">
        <v>207</v>
      </c>
      <c r="B122" s="12" t="s">
        <v>507</v>
      </c>
      <c r="C122" s="11" t="s">
        <v>160</v>
      </c>
      <c r="D122" s="11" t="s">
        <v>99</v>
      </c>
      <c r="E122" s="11" t="s">
        <v>100</v>
      </c>
      <c r="F122" s="13" t="s">
        <v>537</v>
      </c>
      <c r="G122" s="19">
        <v>6900</v>
      </c>
      <c r="H122" s="25" t="s">
        <v>538</v>
      </c>
      <c r="I122" s="11" t="s">
        <v>41</v>
      </c>
      <c r="J122" s="12" t="s">
        <v>164</v>
      </c>
      <c r="K122" s="15">
        <v>10</v>
      </c>
      <c r="L122" s="15">
        <v>1</v>
      </c>
      <c r="M122" s="15" t="e">
        <f>#REF!=L122</f>
        <v>#REF!</v>
      </c>
      <c r="N122" s="15"/>
      <c r="O122" s="15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7">
        <f>SUM(K122, N122:AB122) - AH122</f>
        <v>10</v>
      </c>
      <c r="AJ122" s="2"/>
      <c r="AK122" s="2"/>
      <c r="AL122" s="2"/>
      <c r="AM122" s="2"/>
      <c r="AN122" s="2"/>
      <c r="AO122" s="2"/>
    </row>
    <row r="123" spans="1:41" ht="13.5">
      <c r="A123" s="11">
        <v>212</v>
      </c>
      <c r="B123" s="12" t="s">
        <v>507</v>
      </c>
      <c r="C123" s="11" t="s">
        <v>160</v>
      </c>
      <c r="D123" s="11" t="s">
        <v>99</v>
      </c>
      <c r="E123" s="11" t="s">
        <v>224</v>
      </c>
      <c r="F123" s="13" t="s">
        <v>547</v>
      </c>
      <c r="G123" s="19">
        <v>6900</v>
      </c>
      <c r="H123" s="25" t="s">
        <v>548</v>
      </c>
      <c r="I123" s="11" t="s">
        <v>41</v>
      </c>
      <c r="J123" s="12" t="s">
        <v>164</v>
      </c>
      <c r="K123" s="15">
        <v>2</v>
      </c>
      <c r="L123" s="15">
        <v>2</v>
      </c>
      <c r="M123" s="15" t="e">
        <f>#REF!=L123</f>
        <v>#REF!</v>
      </c>
      <c r="N123" s="15"/>
      <c r="O123" s="15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7">
        <f>SUM(K123, N123:AB123) - AH123</f>
        <v>2</v>
      </c>
      <c r="AJ123" s="2"/>
      <c r="AK123" s="2"/>
      <c r="AL123" s="2"/>
      <c r="AM123" s="2"/>
      <c r="AN123" s="2"/>
      <c r="AO123" s="2"/>
    </row>
    <row r="124" spans="1:41" ht="13.5">
      <c r="A124" s="11">
        <v>208</v>
      </c>
      <c r="B124" s="12" t="s">
        <v>507</v>
      </c>
      <c r="C124" s="11" t="s">
        <v>160</v>
      </c>
      <c r="D124" s="11" t="s">
        <v>99</v>
      </c>
      <c r="E124" s="11" t="s">
        <v>100</v>
      </c>
      <c r="F124" s="13" t="s">
        <v>539</v>
      </c>
      <c r="G124" s="19">
        <v>6900</v>
      </c>
      <c r="H124" s="25" t="s">
        <v>540</v>
      </c>
      <c r="I124" s="11" t="s">
        <v>41</v>
      </c>
      <c r="J124" s="12" t="s">
        <v>164</v>
      </c>
      <c r="K124" s="15">
        <v>10</v>
      </c>
      <c r="L124" s="15">
        <v>1</v>
      </c>
      <c r="M124" s="15" t="e">
        <f>#REF!=L124</f>
        <v>#REF!</v>
      </c>
      <c r="N124" s="15"/>
      <c r="O124" s="15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7">
        <f>SUM(K124, N124:AB124) - AH124</f>
        <v>10</v>
      </c>
      <c r="AJ124" s="2"/>
      <c r="AK124" s="2"/>
      <c r="AL124" s="2"/>
      <c r="AM124" s="2"/>
      <c r="AN124" s="2"/>
      <c r="AO124" s="2"/>
    </row>
    <row r="125" spans="1:41" ht="13.5">
      <c r="A125" s="11">
        <v>209</v>
      </c>
      <c r="B125" s="12" t="s">
        <v>507</v>
      </c>
      <c r="C125" s="11" t="s">
        <v>160</v>
      </c>
      <c r="D125" s="11" t="s">
        <v>99</v>
      </c>
      <c r="E125" s="11" t="s">
        <v>100</v>
      </c>
      <c r="F125" s="13" t="s">
        <v>541</v>
      </c>
      <c r="G125" s="19">
        <v>6900</v>
      </c>
      <c r="H125" s="25" t="s">
        <v>542</v>
      </c>
      <c r="I125" s="11" t="s">
        <v>41</v>
      </c>
      <c r="J125" s="12" t="s">
        <v>164</v>
      </c>
      <c r="K125" s="15">
        <v>10</v>
      </c>
      <c r="L125" s="15">
        <v>1</v>
      </c>
      <c r="M125" s="15" t="e">
        <f>#REF!=L125</f>
        <v>#REF!</v>
      </c>
      <c r="N125" s="15"/>
      <c r="O125" s="15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>
        <v>1</v>
      </c>
      <c r="AI125" s="17">
        <f>SUM(K125, N125:AB125) - AH125</f>
        <v>9</v>
      </c>
      <c r="AJ125" s="2"/>
      <c r="AK125" s="2"/>
      <c r="AL125" s="2"/>
      <c r="AM125" s="2"/>
      <c r="AN125" s="2"/>
      <c r="AO125" s="2"/>
    </row>
    <row r="126" spans="1:41" ht="13.5">
      <c r="A126" s="11">
        <v>203</v>
      </c>
      <c r="B126" s="12" t="s">
        <v>507</v>
      </c>
      <c r="C126" s="11" t="s">
        <v>160</v>
      </c>
      <c r="D126" s="11" t="s">
        <v>99</v>
      </c>
      <c r="E126" s="11" t="s">
        <v>100</v>
      </c>
      <c r="F126" s="13" t="s">
        <v>529</v>
      </c>
      <c r="G126" s="19">
        <v>6900</v>
      </c>
      <c r="H126" s="25" t="s">
        <v>530</v>
      </c>
      <c r="I126" s="11" t="s">
        <v>41</v>
      </c>
      <c r="J126" s="12" t="s">
        <v>164</v>
      </c>
      <c r="K126" s="15">
        <v>10</v>
      </c>
      <c r="L126" s="15">
        <v>1</v>
      </c>
      <c r="M126" s="15" t="e">
        <f>#REF!=L126</f>
        <v>#REF!</v>
      </c>
      <c r="N126" s="15"/>
      <c r="O126" s="15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>
        <v>1</v>
      </c>
      <c r="AI126" s="17">
        <f>SUM(K126, N126:AB126) - AH126</f>
        <v>9</v>
      </c>
      <c r="AJ126" s="2"/>
      <c r="AK126" s="2"/>
      <c r="AL126" s="2"/>
      <c r="AM126" s="2"/>
      <c r="AN126" s="2"/>
      <c r="AO126" s="2"/>
    </row>
    <row r="127" spans="1:41" ht="13.5">
      <c r="A127" s="11">
        <v>219</v>
      </c>
      <c r="B127" s="12" t="s">
        <v>507</v>
      </c>
      <c r="C127" s="11" t="s">
        <v>160</v>
      </c>
      <c r="D127" s="11" t="s">
        <v>95</v>
      </c>
      <c r="E127" s="11" t="s">
        <v>124</v>
      </c>
      <c r="F127" s="13" t="s">
        <v>561</v>
      </c>
      <c r="G127" s="19">
        <v>15000</v>
      </c>
      <c r="H127" s="25" t="s">
        <v>562</v>
      </c>
      <c r="I127" s="11" t="s">
        <v>41</v>
      </c>
      <c r="J127" s="12" t="s">
        <v>164</v>
      </c>
      <c r="K127" s="15">
        <v>3</v>
      </c>
      <c r="L127" s="15">
        <v>3</v>
      </c>
      <c r="M127" s="15" t="e">
        <f>#REF!=L127</f>
        <v>#REF!</v>
      </c>
      <c r="N127" s="15"/>
      <c r="O127" s="15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7">
        <f>SUM(K127, N127:AB127) - AH127</f>
        <v>3</v>
      </c>
      <c r="AJ127" s="2"/>
      <c r="AK127" s="2"/>
      <c r="AL127" s="2"/>
      <c r="AM127" s="2"/>
      <c r="AN127" s="2"/>
      <c r="AO127" s="2"/>
    </row>
    <row r="128" spans="1:41" ht="13.5">
      <c r="A128" s="11">
        <v>197</v>
      </c>
      <c r="B128" s="12" t="s">
        <v>507</v>
      </c>
      <c r="C128" s="11" t="s">
        <v>160</v>
      </c>
      <c r="D128" s="11" t="s">
        <v>95</v>
      </c>
      <c r="E128" s="11" t="s">
        <v>124</v>
      </c>
      <c r="F128" s="13" t="s">
        <v>517</v>
      </c>
      <c r="G128" s="19">
        <v>15000</v>
      </c>
      <c r="H128" s="25" t="s">
        <v>518</v>
      </c>
      <c r="I128" s="11" t="s">
        <v>41</v>
      </c>
      <c r="J128" s="12" t="s">
        <v>164</v>
      </c>
      <c r="K128" s="15">
        <v>3</v>
      </c>
      <c r="L128" s="15">
        <v>3</v>
      </c>
      <c r="M128" s="15" t="e">
        <f>#REF!=L128</f>
        <v>#REF!</v>
      </c>
      <c r="N128" s="15"/>
      <c r="O128" s="15"/>
      <c r="P128" s="16"/>
      <c r="Q128" s="16">
        <v>5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>
        <v>4</v>
      </c>
      <c r="AI128" s="17">
        <f>SUM(K128, N128:AB128) - AH128</f>
        <v>4</v>
      </c>
      <c r="AJ128" s="2"/>
      <c r="AK128" s="2"/>
      <c r="AL128" s="2"/>
      <c r="AM128" s="2"/>
      <c r="AN128" s="2"/>
      <c r="AO128" s="2"/>
    </row>
    <row r="129" spans="1:41" ht="13.5">
      <c r="A129" s="11">
        <v>196</v>
      </c>
      <c r="B129" s="12" t="s">
        <v>507</v>
      </c>
      <c r="C129" s="11" t="s">
        <v>160</v>
      </c>
      <c r="D129" s="11" t="s">
        <v>95</v>
      </c>
      <c r="E129" s="11" t="s">
        <v>514</v>
      </c>
      <c r="F129" s="13" t="s">
        <v>515</v>
      </c>
      <c r="G129" s="19">
        <v>6900</v>
      </c>
      <c r="H129" s="25" t="s">
        <v>516</v>
      </c>
      <c r="I129" s="11" t="s">
        <v>41</v>
      </c>
      <c r="J129" s="12" t="s">
        <v>164</v>
      </c>
      <c r="K129" s="15">
        <v>5</v>
      </c>
      <c r="L129" s="15">
        <v>5</v>
      </c>
      <c r="M129" s="15" t="e">
        <f>#REF!=L129</f>
        <v>#REF!</v>
      </c>
      <c r="N129" s="15"/>
      <c r="O129" s="15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>
        <v>4</v>
      </c>
      <c r="AI129" s="17">
        <f>SUM(K129, N129:AB129) - AH129</f>
        <v>1</v>
      </c>
      <c r="AJ129" s="2"/>
      <c r="AK129" s="2"/>
      <c r="AL129" s="2"/>
      <c r="AM129" s="2"/>
      <c r="AN129" s="2"/>
      <c r="AO129" s="2"/>
    </row>
    <row r="130" spans="1:41" ht="13.5">
      <c r="A130" s="11">
        <v>193</v>
      </c>
      <c r="B130" s="12" t="s">
        <v>507</v>
      </c>
      <c r="C130" s="11" t="s">
        <v>160</v>
      </c>
      <c r="D130" s="11" t="s">
        <v>229</v>
      </c>
      <c r="E130" s="11" t="s">
        <v>230</v>
      </c>
      <c r="F130" s="13" t="s">
        <v>508</v>
      </c>
      <c r="G130" s="19">
        <v>17500</v>
      </c>
      <c r="H130" s="25" t="s">
        <v>509</v>
      </c>
      <c r="I130" s="11" t="s">
        <v>41</v>
      </c>
      <c r="J130" s="12" t="s">
        <v>164</v>
      </c>
      <c r="K130" s="15">
        <v>1</v>
      </c>
      <c r="L130" s="15">
        <v>1</v>
      </c>
      <c r="M130" s="15" t="e">
        <f>#REF!=L130</f>
        <v>#REF!</v>
      </c>
      <c r="N130" s="15"/>
      <c r="O130" s="15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7">
        <f>SUM(K130, N130:AB130) - AH130</f>
        <v>1</v>
      </c>
      <c r="AJ130" s="2"/>
      <c r="AK130" s="2"/>
      <c r="AL130" s="2"/>
      <c r="AM130" s="2"/>
      <c r="AN130" s="2"/>
      <c r="AO130" s="2"/>
    </row>
    <row r="131" spans="1:41" ht="13.5">
      <c r="A131" s="11">
        <v>194</v>
      </c>
      <c r="B131" s="12" t="s">
        <v>507</v>
      </c>
      <c r="C131" s="11" t="s">
        <v>160</v>
      </c>
      <c r="D131" s="11" t="s">
        <v>229</v>
      </c>
      <c r="E131" s="11" t="s">
        <v>230</v>
      </c>
      <c r="F131" s="13" t="s">
        <v>510</v>
      </c>
      <c r="G131" s="19">
        <v>17500</v>
      </c>
      <c r="H131" s="25" t="s">
        <v>511</v>
      </c>
      <c r="I131" s="11" t="s">
        <v>41</v>
      </c>
      <c r="J131" s="12" t="s">
        <v>164</v>
      </c>
      <c r="K131" s="15">
        <v>2</v>
      </c>
      <c r="L131" s="15">
        <v>2</v>
      </c>
      <c r="M131" s="15" t="e">
        <f>#REF!=L131</f>
        <v>#REF!</v>
      </c>
      <c r="N131" s="15"/>
      <c r="O131" s="15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>
        <v>1</v>
      </c>
      <c r="AI131" s="17">
        <f>SUM(K131, N131:AB131) - AH131</f>
        <v>1</v>
      </c>
      <c r="AJ131" s="2"/>
      <c r="AK131" s="2"/>
      <c r="AL131" s="2"/>
      <c r="AM131" s="2"/>
      <c r="AN131" s="2"/>
      <c r="AO131" s="2"/>
    </row>
    <row r="132" spans="1:41" ht="13.5">
      <c r="A132" s="11">
        <v>195</v>
      </c>
      <c r="B132" s="12" t="s">
        <v>507</v>
      </c>
      <c r="C132" s="11" t="s">
        <v>160</v>
      </c>
      <c r="D132" s="11" t="s">
        <v>229</v>
      </c>
      <c r="E132" s="11" t="s">
        <v>230</v>
      </c>
      <c r="F132" s="13" t="s">
        <v>512</v>
      </c>
      <c r="G132" s="19">
        <v>17500</v>
      </c>
      <c r="H132" s="25" t="s">
        <v>513</v>
      </c>
      <c r="I132" s="11" t="s">
        <v>41</v>
      </c>
      <c r="J132" s="12" t="s">
        <v>164</v>
      </c>
      <c r="K132" s="15">
        <v>2</v>
      </c>
      <c r="L132" s="15">
        <v>2</v>
      </c>
      <c r="M132" s="15" t="e">
        <f>#REF!=L132</f>
        <v>#REF!</v>
      </c>
      <c r="N132" s="15"/>
      <c r="O132" s="15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7">
        <f>SUM(K132, N132:AB132) - AH132</f>
        <v>2</v>
      </c>
      <c r="AJ132" s="2"/>
      <c r="AK132" s="2"/>
      <c r="AL132" s="2"/>
      <c r="AM132" s="2"/>
      <c r="AN132" s="2"/>
      <c r="AO132" s="2"/>
    </row>
    <row r="133" spans="1:41" ht="13.5">
      <c r="A133" s="11">
        <v>221</v>
      </c>
      <c r="B133" s="12" t="s">
        <v>507</v>
      </c>
      <c r="C133" s="11" t="s">
        <v>160</v>
      </c>
      <c r="D133" s="11" t="s">
        <v>95</v>
      </c>
      <c r="E133" s="11" t="s">
        <v>124</v>
      </c>
      <c r="F133" s="13" t="s">
        <v>565</v>
      </c>
      <c r="G133" s="19">
        <v>15000</v>
      </c>
      <c r="H133" s="25" t="s">
        <v>566</v>
      </c>
      <c r="I133" s="11" t="s">
        <v>41</v>
      </c>
      <c r="J133" s="12" t="s">
        <v>164</v>
      </c>
      <c r="K133" s="15">
        <v>2</v>
      </c>
      <c r="L133" s="15">
        <v>2</v>
      </c>
      <c r="M133" s="15" t="e">
        <f>#REF!=L133</f>
        <v>#REF!</v>
      </c>
      <c r="N133" s="15"/>
      <c r="O133" s="15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7">
        <f>SUM(K133, N133:AB133) - AH133</f>
        <v>2</v>
      </c>
      <c r="AJ133" s="2"/>
      <c r="AK133" s="2"/>
      <c r="AL133" s="2"/>
      <c r="AM133" s="2"/>
      <c r="AN133" s="2"/>
      <c r="AO133" s="2"/>
    </row>
    <row r="134" spans="1:41" ht="13.5">
      <c r="A134" s="11">
        <v>220</v>
      </c>
      <c r="B134" s="12" t="s">
        <v>507</v>
      </c>
      <c r="C134" s="11" t="s">
        <v>160</v>
      </c>
      <c r="D134" s="11" t="s">
        <v>95</v>
      </c>
      <c r="E134" s="11" t="s">
        <v>124</v>
      </c>
      <c r="F134" s="13" t="s">
        <v>563</v>
      </c>
      <c r="G134" s="19">
        <v>15000</v>
      </c>
      <c r="H134" s="25" t="s">
        <v>564</v>
      </c>
      <c r="I134" s="11" t="s">
        <v>41</v>
      </c>
      <c r="J134" s="12" t="s">
        <v>164</v>
      </c>
      <c r="K134" s="15">
        <v>1</v>
      </c>
      <c r="L134" s="15">
        <v>1</v>
      </c>
      <c r="M134" s="15" t="e">
        <f>#REF!=L134</f>
        <v>#REF!</v>
      </c>
      <c r="N134" s="15"/>
      <c r="O134" s="15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7">
        <f>SUM(K134, N134:AB134) - AH134</f>
        <v>1</v>
      </c>
      <c r="AJ134" s="2"/>
      <c r="AK134" s="2"/>
      <c r="AL134" s="2"/>
      <c r="AM134" s="2"/>
      <c r="AN134" s="2"/>
      <c r="AO134" s="2"/>
    </row>
    <row r="135" spans="1:41" ht="13.5">
      <c r="A135" s="11">
        <v>199</v>
      </c>
      <c r="B135" s="12" t="s">
        <v>507</v>
      </c>
      <c r="C135" s="11" t="s">
        <v>160</v>
      </c>
      <c r="D135" s="11" t="s">
        <v>95</v>
      </c>
      <c r="E135" s="11" t="s">
        <v>124</v>
      </c>
      <c r="F135" s="13" t="s">
        <v>521</v>
      </c>
      <c r="G135" s="19">
        <v>15000</v>
      </c>
      <c r="H135" s="25" t="s">
        <v>522</v>
      </c>
      <c r="I135" s="11" t="s">
        <v>41</v>
      </c>
      <c r="J135" s="12" t="s">
        <v>164</v>
      </c>
      <c r="K135" s="15">
        <v>3</v>
      </c>
      <c r="L135" s="15">
        <v>3</v>
      </c>
      <c r="M135" s="15" t="e">
        <f>#REF!=L135</f>
        <v>#REF!</v>
      </c>
      <c r="N135" s="15"/>
      <c r="O135" s="15"/>
      <c r="P135" s="16"/>
      <c r="Q135" s="16">
        <v>5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>
        <v>8</v>
      </c>
      <c r="AI135" s="17">
        <f>SUM(K135, N135:AB135) - AH135</f>
        <v>0</v>
      </c>
      <c r="AJ135" s="2"/>
      <c r="AK135" s="2"/>
      <c r="AL135" s="2"/>
      <c r="AM135" s="2"/>
      <c r="AN135" s="2"/>
      <c r="AO135" s="2"/>
    </row>
    <row r="136" spans="1:41" ht="13.5">
      <c r="A136" s="11">
        <v>198</v>
      </c>
      <c r="B136" s="12" t="s">
        <v>507</v>
      </c>
      <c r="C136" s="11" t="s">
        <v>160</v>
      </c>
      <c r="D136" s="11" t="s">
        <v>95</v>
      </c>
      <c r="E136" s="11" t="s">
        <v>124</v>
      </c>
      <c r="F136" s="13" t="s">
        <v>519</v>
      </c>
      <c r="G136" s="19">
        <v>15000</v>
      </c>
      <c r="H136" s="25" t="s">
        <v>520</v>
      </c>
      <c r="I136" s="11" t="s">
        <v>41</v>
      </c>
      <c r="J136" s="12" t="s">
        <v>164</v>
      </c>
      <c r="K136" s="15">
        <v>4</v>
      </c>
      <c r="L136" s="15">
        <v>4</v>
      </c>
      <c r="M136" s="15" t="e">
        <f>#REF!=L136</f>
        <v>#REF!</v>
      </c>
      <c r="N136" s="15"/>
      <c r="O136" s="15"/>
      <c r="P136" s="16"/>
      <c r="Q136" s="16">
        <v>4</v>
      </c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>
        <v>1</v>
      </c>
      <c r="AI136" s="17">
        <f>SUM(K136, N136:AB136) - AH136</f>
        <v>7</v>
      </c>
      <c r="AJ136" s="2"/>
      <c r="AK136" s="2"/>
      <c r="AL136" s="2"/>
      <c r="AM136" s="2"/>
      <c r="AN136" s="2"/>
      <c r="AO136" s="2"/>
    </row>
    <row r="137" spans="1:41" ht="13.5">
      <c r="A137" s="11">
        <v>218</v>
      </c>
      <c r="B137" s="12" t="s">
        <v>507</v>
      </c>
      <c r="C137" s="11" t="s">
        <v>160</v>
      </c>
      <c r="D137" s="11" t="s">
        <v>95</v>
      </c>
      <c r="E137" s="11" t="s">
        <v>96</v>
      </c>
      <c r="F137" s="13" t="s">
        <v>559</v>
      </c>
      <c r="G137" s="19">
        <v>6900</v>
      </c>
      <c r="H137" s="25" t="s">
        <v>560</v>
      </c>
      <c r="I137" s="11" t="s">
        <v>41</v>
      </c>
      <c r="J137" s="12" t="s">
        <v>164</v>
      </c>
      <c r="K137" s="15">
        <v>5</v>
      </c>
      <c r="L137" s="15">
        <v>1</v>
      </c>
      <c r="M137" s="15" t="e">
        <f>#REF!=L137</f>
        <v>#REF!</v>
      </c>
      <c r="N137" s="15"/>
      <c r="O137" s="15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7">
        <f>SUM(K137, N137:AB137) - AH137</f>
        <v>5</v>
      </c>
      <c r="AJ137" s="2"/>
      <c r="AK137" s="2"/>
      <c r="AL137" s="2"/>
      <c r="AM137" s="2"/>
      <c r="AN137" s="2"/>
      <c r="AO137" s="2"/>
    </row>
    <row r="138" spans="1:41" ht="13.5">
      <c r="A138" s="11">
        <v>217</v>
      </c>
      <c r="B138" s="12" t="s">
        <v>507</v>
      </c>
      <c r="C138" s="11" t="s">
        <v>160</v>
      </c>
      <c r="D138" s="11" t="s">
        <v>95</v>
      </c>
      <c r="E138" s="11" t="s">
        <v>96</v>
      </c>
      <c r="F138" s="13" t="s">
        <v>557</v>
      </c>
      <c r="G138" s="19">
        <v>6900</v>
      </c>
      <c r="H138" s="25" t="s">
        <v>558</v>
      </c>
      <c r="I138" s="11" t="s">
        <v>41</v>
      </c>
      <c r="J138" s="12" t="s">
        <v>164</v>
      </c>
      <c r="K138" s="15">
        <v>5</v>
      </c>
      <c r="L138" s="15">
        <v>1</v>
      </c>
      <c r="M138" s="15" t="e">
        <f>#REF!=L138</f>
        <v>#REF!</v>
      </c>
      <c r="N138" s="15"/>
      <c r="O138" s="15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>
        <v>1</v>
      </c>
      <c r="AI138" s="17">
        <f>SUM(K138, N138:AB138) - AH138</f>
        <v>4</v>
      </c>
      <c r="AJ138" s="2"/>
      <c r="AK138" s="2"/>
      <c r="AL138" s="2"/>
      <c r="AM138" s="2"/>
      <c r="AN138" s="2"/>
      <c r="AO138" s="2"/>
    </row>
    <row r="139" spans="1:41" ht="13.5">
      <c r="A139" s="11">
        <v>200</v>
      </c>
      <c r="B139" s="12" t="s">
        <v>507</v>
      </c>
      <c r="C139" s="11" t="s">
        <v>160</v>
      </c>
      <c r="D139" s="11" t="s">
        <v>99</v>
      </c>
      <c r="E139" s="11" t="s">
        <v>100</v>
      </c>
      <c r="F139" s="13" t="s">
        <v>523</v>
      </c>
      <c r="G139" s="19">
        <v>6900</v>
      </c>
      <c r="H139" s="25" t="s">
        <v>524</v>
      </c>
      <c r="I139" s="11" t="s">
        <v>41</v>
      </c>
      <c r="J139" s="12" t="s">
        <v>164</v>
      </c>
      <c r="K139" s="15">
        <v>1</v>
      </c>
      <c r="L139" s="15">
        <v>1</v>
      </c>
      <c r="M139" s="15" t="e">
        <f>#REF!=L139</f>
        <v>#REF!</v>
      </c>
      <c r="N139" s="15"/>
      <c r="O139" s="15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>
        <v>3</v>
      </c>
      <c r="AI139" s="17">
        <f>SUM(K139, N139:AB139) - AH139</f>
        <v>-2</v>
      </c>
      <c r="AJ139" s="2"/>
      <c r="AK139" s="2"/>
      <c r="AL139" s="2"/>
      <c r="AM139" s="2"/>
      <c r="AN139" s="2"/>
      <c r="AO139" s="2"/>
    </row>
    <row r="140" spans="1:41" ht="13.5">
      <c r="A140" s="11">
        <v>206</v>
      </c>
      <c r="B140" s="12" t="s">
        <v>507</v>
      </c>
      <c r="C140" s="11" t="s">
        <v>160</v>
      </c>
      <c r="D140" s="11" t="s">
        <v>99</v>
      </c>
      <c r="E140" s="11" t="s">
        <v>100</v>
      </c>
      <c r="F140" s="13" t="s">
        <v>535</v>
      </c>
      <c r="G140" s="19">
        <v>6900</v>
      </c>
      <c r="H140" s="25" t="s">
        <v>536</v>
      </c>
      <c r="I140" s="11" t="s">
        <v>41</v>
      </c>
      <c r="J140" s="12" t="s">
        <v>164</v>
      </c>
      <c r="K140" s="15">
        <v>10</v>
      </c>
      <c r="L140" s="15">
        <v>1</v>
      </c>
      <c r="M140" s="15" t="e">
        <f>#REF!=L140</f>
        <v>#REF!</v>
      </c>
      <c r="N140" s="15"/>
      <c r="O140" s="15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>
        <v>1</v>
      </c>
      <c r="AI140" s="17">
        <f>SUM(K140, N140:AB140) - AH140</f>
        <v>9</v>
      </c>
      <c r="AJ140" s="2"/>
      <c r="AK140" s="2"/>
      <c r="AL140" s="2"/>
      <c r="AM140" s="2"/>
      <c r="AN140" s="2"/>
      <c r="AO140" s="2"/>
    </row>
    <row r="141" spans="1:41" ht="13.5">
      <c r="A141" s="11">
        <v>214</v>
      </c>
      <c r="B141" s="12" t="s">
        <v>507</v>
      </c>
      <c r="C141" s="11" t="s">
        <v>160</v>
      </c>
      <c r="D141" s="11" t="s">
        <v>99</v>
      </c>
      <c r="E141" s="11" t="s">
        <v>224</v>
      </c>
      <c r="F141" s="13" t="s">
        <v>551</v>
      </c>
      <c r="G141" s="19">
        <v>6900</v>
      </c>
      <c r="H141" s="25" t="s">
        <v>552</v>
      </c>
      <c r="I141" s="11" t="s">
        <v>41</v>
      </c>
      <c r="J141" s="12" t="s">
        <v>164</v>
      </c>
      <c r="K141" s="15">
        <v>2</v>
      </c>
      <c r="L141" s="15">
        <v>2</v>
      </c>
      <c r="M141" s="15" t="e">
        <f>#REF!=L141</f>
        <v>#REF!</v>
      </c>
      <c r="N141" s="15"/>
      <c r="O141" s="15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>
        <v>1</v>
      </c>
      <c r="AI141" s="17">
        <f>SUM(K141, N141:AB141) - AH141</f>
        <v>1</v>
      </c>
      <c r="AJ141" s="2"/>
      <c r="AK141" s="2"/>
      <c r="AL141" s="2"/>
      <c r="AM141" s="2"/>
      <c r="AN141" s="2"/>
      <c r="AO141" s="2"/>
    </row>
    <row r="142" spans="1:41" ht="13.5">
      <c r="A142" s="11">
        <v>202</v>
      </c>
      <c r="B142" s="12" t="s">
        <v>507</v>
      </c>
      <c r="C142" s="11" t="s">
        <v>160</v>
      </c>
      <c r="D142" s="11" t="s">
        <v>99</v>
      </c>
      <c r="E142" s="11" t="s">
        <v>100</v>
      </c>
      <c r="F142" s="13" t="s">
        <v>527</v>
      </c>
      <c r="G142" s="19">
        <v>6900</v>
      </c>
      <c r="H142" s="25" t="s">
        <v>528</v>
      </c>
      <c r="I142" s="11" t="s">
        <v>41</v>
      </c>
      <c r="J142" s="12" t="s">
        <v>164</v>
      </c>
      <c r="K142" s="15">
        <v>7</v>
      </c>
      <c r="L142" s="15">
        <v>1</v>
      </c>
      <c r="M142" s="15" t="e">
        <f>#REF!=L142</f>
        <v>#REF!</v>
      </c>
      <c r="N142" s="15"/>
      <c r="O142" s="15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>
        <v>1</v>
      </c>
      <c r="AI142" s="17">
        <f>SUM(K142, N142:AB142) - AH142</f>
        <v>6</v>
      </c>
      <c r="AJ142" s="2"/>
      <c r="AK142" s="2"/>
      <c r="AL142" s="2"/>
      <c r="AM142" s="2"/>
      <c r="AN142" s="2"/>
      <c r="AO142" s="2"/>
    </row>
    <row r="143" spans="1:41" ht="13.5">
      <c r="A143" s="11">
        <v>205</v>
      </c>
      <c r="B143" s="12" t="s">
        <v>507</v>
      </c>
      <c r="C143" s="11" t="s">
        <v>160</v>
      </c>
      <c r="D143" s="11" t="s">
        <v>99</v>
      </c>
      <c r="E143" s="11" t="s">
        <v>100</v>
      </c>
      <c r="F143" s="13" t="s">
        <v>533</v>
      </c>
      <c r="G143" s="19">
        <v>6900</v>
      </c>
      <c r="H143" s="25" t="s">
        <v>534</v>
      </c>
      <c r="I143" s="11" t="s">
        <v>41</v>
      </c>
      <c r="J143" s="12" t="s">
        <v>164</v>
      </c>
      <c r="K143" s="15">
        <v>10</v>
      </c>
      <c r="L143" s="15">
        <v>1</v>
      </c>
      <c r="M143" s="15" t="e">
        <f>#REF!=L143</f>
        <v>#REF!</v>
      </c>
      <c r="N143" s="15"/>
      <c r="O143" s="15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7">
        <f>SUM(K143, N143:AB143) - AH143</f>
        <v>10</v>
      </c>
      <c r="AJ143" s="2"/>
      <c r="AK143" s="2"/>
      <c r="AL143" s="2"/>
      <c r="AM143" s="2"/>
      <c r="AN143" s="2"/>
      <c r="AO143" s="2"/>
    </row>
    <row r="144" spans="1:41" ht="13.5">
      <c r="A144" s="11">
        <v>204</v>
      </c>
      <c r="B144" s="12" t="s">
        <v>507</v>
      </c>
      <c r="C144" s="11" t="s">
        <v>160</v>
      </c>
      <c r="D144" s="11" t="s">
        <v>99</v>
      </c>
      <c r="E144" s="11" t="s">
        <v>100</v>
      </c>
      <c r="F144" s="13" t="s">
        <v>531</v>
      </c>
      <c r="G144" s="19">
        <v>6900</v>
      </c>
      <c r="H144" s="25" t="s">
        <v>532</v>
      </c>
      <c r="I144" s="11" t="s">
        <v>41</v>
      </c>
      <c r="J144" s="12" t="s">
        <v>164</v>
      </c>
      <c r="K144" s="15">
        <v>1</v>
      </c>
      <c r="L144" s="15">
        <v>1</v>
      </c>
      <c r="M144" s="15" t="e">
        <f>#REF!=L144</f>
        <v>#REF!</v>
      </c>
      <c r="N144" s="15"/>
      <c r="O144" s="15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7">
        <f>SUM(K144, N144:AB144) - AH144</f>
        <v>1</v>
      </c>
      <c r="AJ144" s="2"/>
      <c r="AK144" s="2"/>
      <c r="AL144" s="2"/>
      <c r="AM144" s="2"/>
      <c r="AN144" s="2"/>
      <c r="AO144" s="2"/>
    </row>
    <row r="145" spans="1:41" ht="13.5">
      <c r="A145" s="11">
        <v>201</v>
      </c>
      <c r="B145" s="12" t="s">
        <v>507</v>
      </c>
      <c r="C145" s="11" t="s">
        <v>160</v>
      </c>
      <c r="D145" s="11" t="s">
        <v>99</v>
      </c>
      <c r="E145" s="11" t="s">
        <v>100</v>
      </c>
      <c r="F145" s="13" t="s">
        <v>525</v>
      </c>
      <c r="G145" s="19">
        <v>6900</v>
      </c>
      <c r="H145" s="25" t="s">
        <v>526</v>
      </c>
      <c r="I145" s="11" t="s">
        <v>41</v>
      </c>
      <c r="J145" s="12" t="s">
        <v>164</v>
      </c>
      <c r="K145" s="15">
        <v>10</v>
      </c>
      <c r="L145" s="15">
        <v>1</v>
      </c>
      <c r="M145" s="15" t="e">
        <f>#REF!=L145</f>
        <v>#REF!</v>
      </c>
      <c r="N145" s="15"/>
      <c r="O145" s="15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>
        <v>3</v>
      </c>
      <c r="AI145" s="17">
        <f>SUM(K145, N145:AB145) - AH145</f>
        <v>7</v>
      </c>
      <c r="AJ145" s="2"/>
      <c r="AK145" s="2"/>
      <c r="AL145" s="2"/>
      <c r="AM145" s="2"/>
      <c r="AN145" s="2"/>
      <c r="AO145" s="2"/>
    </row>
    <row r="146" spans="1:41" ht="13.5">
      <c r="A146" s="11">
        <v>240</v>
      </c>
      <c r="B146" s="12" t="s">
        <v>609</v>
      </c>
      <c r="C146" s="11" t="s">
        <v>574</v>
      </c>
      <c r="D146" s="11" t="s">
        <v>229</v>
      </c>
      <c r="E146" s="11" t="s">
        <v>230</v>
      </c>
      <c r="F146" s="28" t="s">
        <v>614</v>
      </c>
      <c r="G146" s="14">
        <v>15000</v>
      </c>
      <c r="H146" s="25" t="s">
        <v>615</v>
      </c>
      <c r="I146" s="11" t="s">
        <v>41</v>
      </c>
      <c r="J146" s="11" t="s">
        <v>42</v>
      </c>
      <c r="K146" s="15">
        <v>2</v>
      </c>
      <c r="L146" s="15">
        <v>2</v>
      </c>
      <c r="M146" s="15" t="e">
        <f>#REF!=L146</f>
        <v>#REF!</v>
      </c>
      <c r="N146" s="15"/>
      <c r="O146" s="15"/>
      <c r="P146" s="16"/>
      <c r="Q146" s="16">
        <v>5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>
        <v>2</v>
      </c>
      <c r="AI146" s="17">
        <f>SUM(K146, N146:AB146) - AH146</f>
        <v>5</v>
      </c>
      <c r="AJ146" s="2"/>
      <c r="AK146" s="2"/>
      <c r="AL146" s="2"/>
      <c r="AM146" s="2"/>
      <c r="AN146" s="2"/>
      <c r="AO146" s="2"/>
    </row>
    <row r="147" spans="1:41" ht="13.5">
      <c r="A147" s="11">
        <v>238</v>
      </c>
      <c r="B147" s="12" t="s">
        <v>609</v>
      </c>
      <c r="C147" s="11" t="s">
        <v>574</v>
      </c>
      <c r="D147" s="11" t="s">
        <v>229</v>
      </c>
      <c r="E147" s="11" t="s">
        <v>230</v>
      </c>
      <c r="F147" s="28" t="s">
        <v>610</v>
      </c>
      <c r="G147" s="14">
        <v>15000</v>
      </c>
      <c r="H147" s="25" t="s">
        <v>611</v>
      </c>
      <c r="I147" s="11" t="s">
        <v>41</v>
      </c>
      <c r="J147" s="11" t="s">
        <v>42</v>
      </c>
      <c r="K147" s="15">
        <v>2</v>
      </c>
      <c r="L147" s="15">
        <v>2</v>
      </c>
      <c r="M147" s="15" t="e">
        <f>#REF!=L147</f>
        <v>#REF!</v>
      </c>
      <c r="N147" s="15"/>
      <c r="O147" s="15"/>
      <c r="P147" s="16"/>
      <c r="Q147" s="16">
        <v>5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>
        <v>4</v>
      </c>
      <c r="AI147" s="17">
        <f>SUM(K147, N147:AB147) - AH147</f>
        <v>3</v>
      </c>
      <c r="AJ147" s="2"/>
      <c r="AK147" s="2"/>
      <c r="AL147" s="2"/>
      <c r="AM147" s="2"/>
      <c r="AN147" s="2"/>
      <c r="AO147" s="2"/>
    </row>
    <row r="148" spans="1:41" ht="13.5">
      <c r="A148" s="11">
        <v>241</v>
      </c>
      <c r="B148" s="12" t="s">
        <v>609</v>
      </c>
      <c r="C148" s="11" t="s">
        <v>574</v>
      </c>
      <c r="D148" s="11" t="s">
        <v>229</v>
      </c>
      <c r="E148" s="11" t="s">
        <v>230</v>
      </c>
      <c r="F148" s="28" t="s">
        <v>616</v>
      </c>
      <c r="G148" s="14">
        <v>15000</v>
      </c>
      <c r="H148" s="25" t="s">
        <v>617</v>
      </c>
      <c r="I148" s="11" t="s">
        <v>41</v>
      </c>
      <c r="J148" s="11" t="s">
        <v>42</v>
      </c>
      <c r="K148" s="15">
        <v>2</v>
      </c>
      <c r="L148" s="15">
        <v>2</v>
      </c>
      <c r="M148" s="15" t="e">
        <f>#REF!=L148</f>
        <v>#REF!</v>
      </c>
      <c r="N148" s="15"/>
      <c r="O148" s="15"/>
      <c r="P148" s="16"/>
      <c r="Q148" s="16">
        <v>5</v>
      </c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>
        <v>4</v>
      </c>
      <c r="AI148" s="17">
        <f>SUM(K148, N148:AB148) - AH148</f>
        <v>3</v>
      </c>
      <c r="AJ148" s="2"/>
      <c r="AK148" s="2"/>
      <c r="AL148" s="2"/>
      <c r="AM148" s="2"/>
      <c r="AN148" s="2"/>
      <c r="AO148" s="2"/>
    </row>
    <row r="149" spans="1:41" ht="13.5">
      <c r="A149" s="11">
        <v>27</v>
      </c>
      <c r="B149" s="12" t="s">
        <v>36</v>
      </c>
      <c r="C149" s="11" t="s">
        <v>37</v>
      </c>
      <c r="D149" s="11" t="s">
        <v>99</v>
      </c>
      <c r="E149" s="11" t="s">
        <v>100</v>
      </c>
      <c r="F149" s="13" t="s">
        <v>101</v>
      </c>
      <c r="G149" s="14">
        <v>8000</v>
      </c>
      <c r="H149" s="25" t="s">
        <v>102</v>
      </c>
      <c r="I149" s="11" t="s">
        <v>41</v>
      </c>
      <c r="J149" s="11" t="s">
        <v>42</v>
      </c>
      <c r="K149" s="15">
        <v>20</v>
      </c>
      <c r="L149" s="15"/>
      <c r="M149" s="15" t="e">
        <f>#REF!=L149</f>
        <v>#REF!</v>
      </c>
      <c r="N149" s="15"/>
      <c r="O149" s="15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7">
        <f>SUM(K149, N149:AB149) - AH149</f>
        <v>20</v>
      </c>
      <c r="AJ149" s="2"/>
      <c r="AK149" s="2"/>
      <c r="AL149" s="2"/>
      <c r="AM149" s="2"/>
      <c r="AN149" s="2"/>
      <c r="AO149" s="2"/>
    </row>
    <row r="150" spans="1:41" ht="13.5">
      <c r="A150" s="11">
        <v>28</v>
      </c>
      <c r="B150" s="12" t="s">
        <v>36</v>
      </c>
      <c r="C150" s="11" t="s">
        <v>37</v>
      </c>
      <c r="D150" s="11" t="s">
        <v>99</v>
      </c>
      <c r="E150" s="11" t="s">
        <v>100</v>
      </c>
      <c r="F150" s="13" t="s">
        <v>103</v>
      </c>
      <c r="G150" s="14">
        <v>8000</v>
      </c>
      <c r="H150" s="25" t="s">
        <v>104</v>
      </c>
      <c r="I150" s="11" t="s">
        <v>41</v>
      </c>
      <c r="J150" s="11" t="s">
        <v>42</v>
      </c>
      <c r="K150" s="15">
        <v>20</v>
      </c>
      <c r="L150" s="15"/>
      <c r="M150" s="15" t="e">
        <f>#REF!=L150</f>
        <v>#REF!</v>
      </c>
      <c r="N150" s="15"/>
      <c r="O150" s="15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7">
        <f>SUM(K150, N150:AB150) - AH150</f>
        <v>20</v>
      </c>
      <c r="AJ150" s="2"/>
      <c r="AK150" s="2"/>
      <c r="AL150" s="2"/>
      <c r="AM150" s="2"/>
      <c r="AN150" s="2"/>
      <c r="AO150" s="2"/>
    </row>
    <row r="151" spans="1:41" ht="13.5">
      <c r="A151" s="11">
        <v>26</v>
      </c>
      <c r="B151" s="12" t="s">
        <v>36</v>
      </c>
      <c r="C151" s="11" t="s">
        <v>37</v>
      </c>
      <c r="D151" s="11" t="s">
        <v>95</v>
      </c>
      <c r="E151" s="11" t="s">
        <v>96</v>
      </c>
      <c r="F151" s="13" t="s">
        <v>97</v>
      </c>
      <c r="G151" s="14">
        <v>10000</v>
      </c>
      <c r="H151" s="25" t="s">
        <v>98</v>
      </c>
      <c r="I151" s="11" t="s">
        <v>41</v>
      </c>
      <c r="J151" s="11" t="s">
        <v>42</v>
      </c>
      <c r="K151" s="15">
        <v>40</v>
      </c>
      <c r="L151" s="15"/>
      <c r="M151" s="15" t="e">
        <f>#REF!=L151</f>
        <v>#REF!</v>
      </c>
      <c r="N151" s="15"/>
      <c r="O151" s="15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7">
        <f>SUM(K151, N151:AB151) - AH151</f>
        <v>40</v>
      </c>
      <c r="AJ151" s="2"/>
      <c r="AK151" s="2"/>
      <c r="AL151" s="2"/>
      <c r="AM151" s="2"/>
      <c r="AN151" s="2"/>
      <c r="AO151" s="2"/>
    </row>
    <row r="152" spans="1:41" ht="13.5">
      <c r="A152" s="11">
        <v>24</v>
      </c>
      <c r="B152" s="12" t="s">
        <v>36</v>
      </c>
      <c r="C152" s="11" t="s">
        <v>37</v>
      </c>
      <c r="D152" s="11" t="s">
        <v>38</v>
      </c>
      <c r="E152" s="11" t="s">
        <v>90</v>
      </c>
      <c r="F152" s="13" t="s">
        <v>91</v>
      </c>
      <c r="G152" s="14">
        <v>12000</v>
      </c>
      <c r="H152" s="25" t="s">
        <v>92</v>
      </c>
      <c r="I152" s="11" t="s">
        <v>41</v>
      </c>
      <c r="J152" s="11" t="s">
        <v>42</v>
      </c>
      <c r="K152" s="15">
        <v>3</v>
      </c>
      <c r="L152" s="15"/>
      <c r="M152" s="15" t="e">
        <f>#REF!=L152</f>
        <v>#REF!</v>
      </c>
      <c r="N152" s="15"/>
      <c r="O152" s="15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7">
        <f>SUM(K152, N152:AB152) - AH152</f>
        <v>3</v>
      </c>
      <c r="AJ152" s="2"/>
      <c r="AK152" s="2"/>
      <c r="AL152" s="2"/>
      <c r="AM152" s="2"/>
      <c r="AN152" s="2"/>
      <c r="AO152" s="2"/>
    </row>
    <row r="153" spans="1:41" ht="13.5">
      <c r="A153" s="11">
        <v>25</v>
      </c>
      <c r="B153" s="12" t="s">
        <v>36</v>
      </c>
      <c r="C153" s="11" t="s">
        <v>37</v>
      </c>
      <c r="D153" s="11" t="s">
        <v>38</v>
      </c>
      <c r="E153" s="11" t="s">
        <v>90</v>
      </c>
      <c r="F153" s="13" t="s">
        <v>93</v>
      </c>
      <c r="G153" s="14">
        <v>12000</v>
      </c>
      <c r="H153" s="25" t="s">
        <v>94</v>
      </c>
      <c r="I153" s="11" t="s">
        <v>41</v>
      </c>
      <c r="J153" s="11" t="s">
        <v>42</v>
      </c>
      <c r="K153" s="15">
        <v>3</v>
      </c>
      <c r="L153" s="15"/>
      <c r="M153" s="15" t="e">
        <f>#REF!=L153</f>
        <v>#REF!</v>
      </c>
      <c r="N153" s="15"/>
      <c r="O153" s="15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>
        <v>2</v>
      </c>
      <c r="AI153" s="17">
        <f>SUM(K153, N153:AB153) - AH153</f>
        <v>1</v>
      </c>
      <c r="AJ153" s="2"/>
      <c r="AK153" s="2"/>
      <c r="AL153" s="2"/>
      <c r="AM153" s="2"/>
      <c r="AN153" s="2"/>
      <c r="AO153" s="2"/>
    </row>
    <row r="154" spans="1:41" ht="13.5">
      <c r="A154" s="11">
        <v>1</v>
      </c>
      <c r="B154" s="12" t="s">
        <v>36</v>
      </c>
      <c r="C154" s="11" t="s">
        <v>37</v>
      </c>
      <c r="D154" s="11" t="s">
        <v>38</v>
      </c>
      <c r="E154" s="11" t="s">
        <v>38</v>
      </c>
      <c r="F154" s="13" t="s">
        <v>39</v>
      </c>
      <c r="G154" s="14">
        <v>60000</v>
      </c>
      <c r="H154" s="25" t="s">
        <v>40</v>
      </c>
      <c r="I154" s="11" t="s">
        <v>41</v>
      </c>
      <c r="J154" s="11" t="s">
        <v>42</v>
      </c>
      <c r="K154" s="15">
        <v>1</v>
      </c>
      <c r="L154" s="15"/>
      <c r="M154" s="15" t="e">
        <f>#REF!=L154</f>
        <v>#REF!</v>
      </c>
      <c r="N154" s="15"/>
      <c r="O154" s="15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7">
        <f>SUM(K154, N154:AB154) - AH154</f>
        <v>1</v>
      </c>
      <c r="AJ154" s="2"/>
      <c r="AK154" s="2"/>
      <c r="AL154" s="2"/>
      <c r="AM154" s="2"/>
      <c r="AN154" s="2"/>
      <c r="AO154" s="2"/>
    </row>
    <row r="155" spans="1:41" ht="13.5">
      <c r="A155" s="11">
        <v>2</v>
      </c>
      <c r="B155" s="12" t="s">
        <v>36</v>
      </c>
      <c r="C155" s="11" t="s">
        <v>37</v>
      </c>
      <c r="D155" s="11" t="s">
        <v>38</v>
      </c>
      <c r="E155" s="11" t="s">
        <v>38</v>
      </c>
      <c r="F155" s="13" t="s">
        <v>43</v>
      </c>
      <c r="G155" s="14">
        <v>60000</v>
      </c>
      <c r="H155" s="25" t="s">
        <v>44</v>
      </c>
      <c r="I155" s="11" t="s">
        <v>41</v>
      </c>
      <c r="J155" s="11" t="s">
        <v>42</v>
      </c>
      <c r="K155" s="15">
        <v>1</v>
      </c>
      <c r="L155" s="15"/>
      <c r="M155" s="15" t="e">
        <f>#REF!=L155</f>
        <v>#REF!</v>
      </c>
      <c r="N155" s="15"/>
      <c r="O155" s="15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7">
        <f>SUM(K155, N155:AB155) - AH155</f>
        <v>1</v>
      </c>
      <c r="AJ155" s="2"/>
      <c r="AK155" s="2"/>
      <c r="AL155" s="2"/>
      <c r="AM155" s="2"/>
      <c r="AN155" s="2"/>
      <c r="AO155" s="2"/>
    </row>
    <row r="156" spans="1:41" ht="13.5">
      <c r="A156" s="11">
        <v>3</v>
      </c>
      <c r="B156" s="12" t="s">
        <v>36</v>
      </c>
      <c r="C156" s="11" t="s">
        <v>37</v>
      </c>
      <c r="D156" s="11" t="s">
        <v>38</v>
      </c>
      <c r="E156" s="11" t="s">
        <v>38</v>
      </c>
      <c r="F156" s="13" t="s">
        <v>45</v>
      </c>
      <c r="G156" s="14">
        <v>60000</v>
      </c>
      <c r="H156" s="25" t="s">
        <v>46</v>
      </c>
      <c r="I156" s="11" t="s">
        <v>41</v>
      </c>
      <c r="J156" s="11" t="s">
        <v>42</v>
      </c>
      <c r="K156" s="15">
        <v>1</v>
      </c>
      <c r="L156" s="15"/>
      <c r="M156" s="15" t="e">
        <f>#REF!=L156</f>
        <v>#REF!</v>
      </c>
      <c r="N156" s="15"/>
      <c r="O156" s="15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7">
        <f>SUM(K156, N156:AB156) - AH156</f>
        <v>1</v>
      </c>
      <c r="AJ156" s="2"/>
      <c r="AK156" s="2"/>
      <c r="AL156" s="2"/>
      <c r="AM156" s="2"/>
      <c r="AN156" s="2"/>
      <c r="AO156" s="2"/>
    </row>
    <row r="157" spans="1:41" ht="13.5">
      <c r="A157" s="11">
        <v>4</v>
      </c>
      <c r="B157" s="12" t="s">
        <v>36</v>
      </c>
      <c r="C157" s="11" t="s">
        <v>37</v>
      </c>
      <c r="D157" s="11" t="s">
        <v>38</v>
      </c>
      <c r="E157" s="11" t="s">
        <v>38</v>
      </c>
      <c r="F157" s="13" t="s">
        <v>47</v>
      </c>
      <c r="G157" s="14">
        <v>60000</v>
      </c>
      <c r="H157" s="25" t="s">
        <v>48</v>
      </c>
      <c r="I157" s="11" t="s">
        <v>41</v>
      </c>
      <c r="J157" s="11" t="s">
        <v>42</v>
      </c>
      <c r="K157" s="15">
        <v>1</v>
      </c>
      <c r="L157" s="15"/>
      <c r="M157" s="15" t="e">
        <f>#REF!=L157</f>
        <v>#REF!</v>
      </c>
      <c r="N157" s="15"/>
      <c r="O157" s="15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7">
        <f>SUM(K157, N157:AB157) - AH157</f>
        <v>1</v>
      </c>
      <c r="AJ157" s="2"/>
      <c r="AK157" s="2"/>
      <c r="AL157" s="2"/>
      <c r="AM157" s="2"/>
      <c r="AN157" s="2"/>
      <c r="AO157" s="2"/>
    </row>
    <row r="158" spans="1:41" ht="13.5">
      <c r="A158" s="11">
        <v>5</v>
      </c>
      <c r="B158" s="12" t="s">
        <v>36</v>
      </c>
      <c r="C158" s="11" t="s">
        <v>37</v>
      </c>
      <c r="D158" s="11" t="s">
        <v>38</v>
      </c>
      <c r="E158" s="11" t="s">
        <v>38</v>
      </c>
      <c r="F158" s="18" t="s">
        <v>49</v>
      </c>
      <c r="G158" s="14">
        <v>60000</v>
      </c>
      <c r="H158" s="25" t="s">
        <v>50</v>
      </c>
      <c r="I158" s="11" t="s">
        <v>41</v>
      </c>
      <c r="J158" s="11" t="s">
        <v>42</v>
      </c>
      <c r="K158" s="15">
        <v>1</v>
      </c>
      <c r="L158" s="15"/>
      <c r="M158" s="15" t="e">
        <f>#REF!=L158</f>
        <v>#REF!</v>
      </c>
      <c r="N158" s="15"/>
      <c r="O158" s="15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>
        <v>1</v>
      </c>
      <c r="AI158" s="17">
        <f>SUM(K158, N158:AB158) - AH158</f>
        <v>0</v>
      </c>
      <c r="AJ158" s="2"/>
      <c r="AK158" s="2"/>
      <c r="AL158" s="2"/>
      <c r="AM158" s="2"/>
      <c r="AN158" s="2"/>
      <c r="AO158" s="2"/>
    </row>
    <row r="159" spans="1:41" ht="13.5">
      <c r="A159" s="11">
        <v>6</v>
      </c>
      <c r="B159" s="12" t="s">
        <v>36</v>
      </c>
      <c r="C159" s="11" t="s">
        <v>37</v>
      </c>
      <c r="D159" s="11" t="s">
        <v>38</v>
      </c>
      <c r="E159" s="11" t="s">
        <v>38</v>
      </c>
      <c r="F159" s="18" t="s">
        <v>51</v>
      </c>
      <c r="G159" s="14">
        <v>60000</v>
      </c>
      <c r="H159" s="25" t="s">
        <v>52</v>
      </c>
      <c r="I159" s="11" t="s">
        <v>41</v>
      </c>
      <c r="J159" s="11" t="s">
        <v>42</v>
      </c>
      <c r="K159" s="15">
        <v>1</v>
      </c>
      <c r="L159" s="15"/>
      <c r="M159" s="15" t="e">
        <f>#REF!=L159</f>
        <v>#REF!</v>
      </c>
      <c r="N159" s="15"/>
      <c r="O159" s="15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7">
        <f>SUM(K159, N159:AB159) - AH159</f>
        <v>1</v>
      </c>
      <c r="AJ159" s="2"/>
      <c r="AK159" s="2"/>
      <c r="AL159" s="2"/>
      <c r="AM159" s="2"/>
      <c r="AN159" s="2"/>
      <c r="AO159" s="2"/>
    </row>
    <row r="160" spans="1:41" ht="13.5">
      <c r="A160" s="11">
        <v>7</v>
      </c>
      <c r="B160" s="12" t="s">
        <v>36</v>
      </c>
      <c r="C160" s="11" t="s">
        <v>37</v>
      </c>
      <c r="D160" s="11" t="s">
        <v>38</v>
      </c>
      <c r="E160" s="11" t="s">
        <v>38</v>
      </c>
      <c r="F160" s="18" t="s">
        <v>53</v>
      </c>
      <c r="G160" s="14">
        <v>60000</v>
      </c>
      <c r="H160" s="25" t="s">
        <v>54</v>
      </c>
      <c r="I160" s="11" t="s">
        <v>41</v>
      </c>
      <c r="J160" s="11" t="s">
        <v>42</v>
      </c>
      <c r="K160" s="15">
        <v>1</v>
      </c>
      <c r="L160" s="15"/>
      <c r="M160" s="15" t="e">
        <f>#REF!=L160</f>
        <v>#REF!</v>
      </c>
      <c r="N160" s="15"/>
      <c r="O160" s="15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7">
        <f>SUM(K160, N160:AB160) - AH160</f>
        <v>1</v>
      </c>
      <c r="AJ160" s="2"/>
      <c r="AK160" s="2"/>
      <c r="AL160" s="2"/>
      <c r="AM160" s="2"/>
      <c r="AN160" s="2"/>
      <c r="AO160" s="2"/>
    </row>
    <row r="161" spans="1:41" ht="13.5">
      <c r="A161" s="11">
        <v>8</v>
      </c>
      <c r="B161" s="12" t="s">
        <v>36</v>
      </c>
      <c r="C161" s="11" t="s">
        <v>37</v>
      </c>
      <c r="D161" s="11" t="s">
        <v>38</v>
      </c>
      <c r="E161" s="11" t="s">
        <v>38</v>
      </c>
      <c r="F161" s="18" t="s">
        <v>55</v>
      </c>
      <c r="G161" s="14">
        <v>60000</v>
      </c>
      <c r="H161" s="25" t="s">
        <v>56</v>
      </c>
      <c r="I161" s="11" t="s">
        <v>41</v>
      </c>
      <c r="J161" s="11" t="s">
        <v>42</v>
      </c>
      <c r="K161" s="15">
        <v>1</v>
      </c>
      <c r="L161" s="15"/>
      <c r="M161" s="15" t="e">
        <f>#REF!=L161</f>
        <v>#REF!</v>
      </c>
      <c r="N161" s="15"/>
      <c r="O161" s="15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7">
        <f>SUM(K161, N161:AB161) - AH161</f>
        <v>1</v>
      </c>
      <c r="AJ161" s="2"/>
      <c r="AK161" s="2"/>
      <c r="AL161" s="2"/>
      <c r="AM161" s="2"/>
      <c r="AN161" s="2"/>
      <c r="AO161" s="2"/>
    </row>
    <row r="162" spans="1:41" ht="13.5">
      <c r="A162" s="11">
        <v>9</v>
      </c>
      <c r="B162" s="12" t="s">
        <v>36</v>
      </c>
      <c r="C162" s="11" t="s">
        <v>37</v>
      </c>
      <c r="D162" s="11" t="s">
        <v>38</v>
      </c>
      <c r="E162" s="11" t="s">
        <v>38</v>
      </c>
      <c r="F162" s="13" t="s">
        <v>57</v>
      </c>
      <c r="G162" s="14">
        <v>50000</v>
      </c>
      <c r="H162" s="25" t="s">
        <v>58</v>
      </c>
      <c r="I162" s="11" t="s">
        <v>41</v>
      </c>
      <c r="J162" s="11" t="s">
        <v>42</v>
      </c>
      <c r="K162" s="15">
        <v>1</v>
      </c>
      <c r="L162" s="15"/>
      <c r="M162" s="15" t="e">
        <f>#REF!=L162</f>
        <v>#REF!</v>
      </c>
      <c r="N162" s="15"/>
      <c r="O162" s="15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7">
        <f>SUM(K162, N162:AB162) - AH162</f>
        <v>1</v>
      </c>
      <c r="AJ162" s="2"/>
      <c r="AK162" s="2"/>
      <c r="AL162" s="2"/>
      <c r="AM162" s="2"/>
      <c r="AN162" s="2"/>
      <c r="AO162" s="2"/>
    </row>
    <row r="163" spans="1:41" ht="13.5">
      <c r="A163" s="11">
        <v>10</v>
      </c>
      <c r="B163" s="12" t="s">
        <v>36</v>
      </c>
      <c r="C163" s="11" t="s">
        <v>37</v>
      </c>
      <c r="D163" s="11" t="s">
        <v>38</v>
      </c>
      <c r="E163" s="11" t="s">
        <v>38</v>
      </c>
      <c r="F163" s="13" t="s">
        <v>59</v>
      </c>
      <c r="G163" s="14">
        <v>50000</v>
      </c>
      <c r="H163" s="25" t="s">
        <v>60</v>
      </c>
      <c r="I163" s="11" t="s">
        <v>41</v>
      </c>
      <c r="J163" s="11" t="s">
        <v>42</v>
      </c>
      <c r="K163" s="15">
        <v>1</v>
      </c>
      <c r="L163" s="15"/>
      <c r="M163" s="15" t="e">
        <f>#REF!=L163</f>
        <v>#REF!</v>
      </c>
      <c r="N163" s="15"/>
      <c r="O163" s="15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7">
        <f>SUM(K163, N163:AB163) - AH163</f>
        <v>1</v>
      </c>
      <c r="AJ163" s="2"/>
      <c r="AK163" s="2"/>
      <c r="AL163" s="2"/>
      <c r="AM163" s="2"/>
      <c r="AN163" s="2"/>
      <c r="AO163" s="2"/>
    </row>
    <row r="164" spans="1:41" ht="13.5">
      <c r="A164" s="11">
        <v>11</v>
      </c>
      <c r="B164" s="12" t="s">
        <v>36</v>
      </c>
      <c r="C164" s="11" t="s">
        <v>37</v>
      </c>
      <c r="D164" s="11" t="s">
        <v>38</v>
      </c>
      <c r="E164" s="11" t="s">
        <v>38</v>
      </c>
      <c r="F164" s="13" t="s">
        <v>61</v>
      </c>
      <c r="G164" s="14">
        <v>50000</v>
      </c>
      <c r="H164" s="25" t="s">
        <v>62</v>
      </c>
      <c r="I164" s="11" t="s">
        <v>41</v>
      </c>
      <c r="J164" s="11" t="s">
        <v>42</v>
      </c>
      <c r="K164" s="15">
        <v>1</v>
      </c>
      <c r="L164" s="15"/>
      <c r="M164" s="15" t="e">
        <f>#REF!=L164</f>
        <v>#REF!</v>
      </c>
      <c r="N164" s="15"/>
      <c r="O164" s="15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7">
        <f>SUM(K164, N164:AB164) - AH164</f>
        <v>1</v>
      </c>
      <c r="AJ164" s="2"/>
      <c r="AK164" s="2"/>
      <c r="AL164" s="2"/>
      <c r="AM164" s="2"/>
      <c r="AN164" s="2"/>
      <c r="AO164" s="2"/>
    </row>
    <row r="165" spans="1:41" ht="13.5">
      <c r="A165" s="11">
        <v>12</v>
      </c>
      <c r="B165" s="12" t="s">
        <v>36</v>
      </c>
      <c r="C165" s="11" t="s">
        <v>37</v>
      </c>
      <c r="D165" s="11" t="s">
        <v>38</v>
      </c>
      <c r="E165" s="11" t="s">
        <v>38</v>
      </c>
      <c r="F165" s="13" t="s">
        <v>63</v>
      </c>
      <c r="G165" s="14">
        <v>50000</v>
      </c>
      <c r="H165" s="25" t="s">
        <v>64</v>
      </c>
      <c r="I165" s="11" t="s">
        <v>41</v>
      </c>
      <c r="J165" s="11" t="s">
        <v>42</v>
      </c>
      <c r="K165" s="15">
        <v>1</v>
      </c>
      <c r="L165" s="15"/>
      <c r="M165" s="15" t="e">
        <f>#REF!=L165</f>
        <v>#REF!</v>
      </c>
      <c r="N165" s="15"/>
      <c r="O165" s="15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7">
        <f>SUM(K165, N165:AB165) - AH165</f>
        <v>1</v>
      </c>
      <c r="AJ165" s="2"/>
      <c r="AK165" s="2"/>
      <c r="AL165" s="2"/>
      <c r="AM165" s="2"/>
      <c r="AN165" s="2"/>
      <c r="AO165" s="2"/>
    </row>
    <row r="166" spans="1:41" ht="13.5">
      <c r="A166" s="11">
        <v>13</v>
      </c>
      <c r="B166" s="12" t="s">
        <v>36</v>
      </c>
      <c r="C166" s="11" t="s">
        <v>37</v>
      </c>
      <c r="D166" s="11" t="s">
        <v>38</v>
      </c>
      <c r="E166" s="11" t="s">
        <v>38</v>
      </c>
      <c r="F166" s="13" t="s">
        <v>65</v>
      </c>
      <c r="G166" s="14">
        <v>50000</v>
      </c>
      <c r="H166" s="25" t="s">
        <v>66</v>
      </c>
      <c r="I166" s="11" t="s">
        <v>41</v>
      </c>
      <c r="J166" s="11" t="s">
        <v>42</v>
      </c>
      <c r="K166" s="15">
        <v>1</v>
      </c>
      <c r="L166" s="15"/>
      <c r="M166" s="15" t="e">
        <f>#REF!=L166</f>
        <v>#REF!</v>
      </c>
      <c r="N166" s="15"/>
      <c r="O166" s="15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7">
        <f>SUM(K166, N166:AB166) - AH166</f>
        <v>1</v>
      </c>
      <c r="AJ166" s="2"/>
      <c r="AK166" s="2"/>
      <c r="AL166" s="2"/>
      <c r="AM166" s="2"/>
      <c r="AN166" s="2"/>
      <c r="AO166" s="2"/>
    </row>
    <row r="167" spans="1:41" ht="13.5">
      <c r="A167" s="11">
        <v>14</v>
      </c>
      <c r="B167" s="12" t="s">
        <v>36</v>
      </c>
      <c r="C167" s="11" t="s">
        <v>37</v>
      </c>
      <c r="D167" s="11" t="s">
        <v>38</v>
      </c>
      <c r="E167" s="11" t="s">
        <v>38</v>
      </c>
      <c r="F167" s="13" t="s">
        <v>67</v>
      </c>
      <c r="G167" s="14">
        <v>50000</v>
      </c>
      <c r="H167" s="25" t="s">
        <v>68</v>
      </c>
      <c r="I167" s="11" t="s">
        <v>41</v>
      </c>
      <c r="J167" s="11" t="s">
        <v>42</v>
      </c>
      <c r="K167" s="15">
        <v>1</v>
      </c>
      <c r="L167" s="15"/>
      <c r="M167" s="15" t="e">
        <f>#REF!=L167</f>
        <v>#REF!</v>
      </c>
      <c r="N167" s="15"/>
      <c r="O167" s="15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7">
        <f>SUM(K167, N167:AB167) - AH167</f>
        <v>1</v>
      </c>
      <c r="AJ167" s="2"/>
      <c r="AK167" s="2"/>
      <c r="AL167" s="2"/>
      <c r="AM167" s="2"/>
      <c r="AN167" s="2"/>
      <c r="AO167" s="2"/>
    </row>
    <row r="168" spans="1:41" ht="13.5">
      <c r="A168" s="11">
        <v>15</v>
      </c>
      <c r="B168" s="12" t="s">
        <v>36</v>
      </c>
      <c r="C168" s="11" t="s">
        <v>37</v>
      </c>
      <c r="D168" s="11" t="s">
        <v>38</v>
      </c>
      <c r="E168" s="11" t="s">
        <v>38</v>
      </c>
      <c r="F168" s="13" t="s">
        <v>69</v>
      </c>
      <c r="G168" s="14">
        <v>50000</v>
      </c>
      <c r="H168" s="25" t="s">
        <v>70</v>
      </c>
      <c r="I168" s="11" t="s">
        <v>41</v>
      </c>
      <c r="J168" s="11" t="s">
        <v>42</v>
      </c>
      <c r="K168" s="15">
        <v>1</v>
      </c>
      <c r="L168" s="15"/>
      <c r="M168" s="15" t="e">
        <f>#REF!=L168</f>
        <v>#REF!</v>
      </c>
      <c r="N168" s="15"/>
      <c r="O168" s="15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7">
        <f>SUM(K168, N168:AB168) - AH168</f>
        <v>1</v>
      </c>
      <c r="AJ168" s="2"/>
      <c r="AK168" s="2"/>
      <c r="AL168" s="2"/>
      <c r="AM168" s="2"/>
      <c r="AN168" s="2"/>
      <c r="AO168" s="2"/>
    </row>
    <row r="169" spans="1:41" ht="13.5">
      <c r="A169" s="11">
        <v>16</v>
      </c>
      <c r="B169" s="12" t="s">
        <v>36</v>
      </c>
      <c r="C169" s="11" t="s">
        <v>37</v>
      </c>
      <c r="D169" s="11" t="s">
        <v>38</v>
      </c>
      <c r="E169" s="11" t="s">
        <v>38</v>
      </c>
      <c r="F169" s="13" t="s">
        <v>71</v>
      </c>
      <c r="G169" s="14">
        <v>50000</v>
      </c>
      <c r="H169" s="25" t="s">
        <v>72</v>
      </c>
      <c r="I169" s="11" t="s">
        <v>41</v>
      </c>
      <c r="J169" s="11" t="s">
        <v>42</v>
      </c>
      <c r="K169" s="15">
        <v>1</v>
      </c>
      <c r="L169" s="15"/>
      <c r="M169" s="15" t="e">
        <f>#REF!=L169</f>
        <v>#REF!</v>
      </c>
      <c r="N169" s="15"/>
      <c r="O169" s="15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7">
        <f>SUM(K169, N169:AB169) - AH169</f>
        <v>1</v>
      </c>
      <c r="AJ169" s="2"/>
      <c r="AK169" s="2"/>
      <c r="AL169" s="2"/>
      <c r="AM169" s="2"/>
      <c r="AN169" s="2"/>
      <c r="AO169" s="2"/>
    </row>
    <row r="170" spans="1:41" ht="13.5">
      <c r="A170" s="11">
        <v>17</v>
      </c>
      <c r="B170" s="12" t="s">
        <v>36</v>
      </c>
      <c r="C170" s="11" t="s">
        <v>37</v>
      </c>
      <c r="D170" s="11" t="s">
        <v>38</v>
      </c>
      <c r="E170" s="11" t="s">
        <v>38</v>
      </c>
      <c r="F170" s="13" t="s">
        <v>73</v>
      </c>
      <c r="G170" s="14">
        <v>50000</v>
      </c>
      <c r="H170" s="25" t="s">
        <v>74</v>
      </c>
      <c r="I170" s="11" t="s">
        <v>41</v>
      </c>
      <c r="J170" s="11" t="s">
        <v>42</v>
      </c>
      <c r="K170" s="15">
        <v>5</v>
      </c>
      <c r="L170" s="15"/>
      <c r="M170" s="15" t="e">
        <f>#REF!=L170</f>
        <v>#REF!</v>
      </c>
      <c r="N170" s="15"/>
      <c r="O170" s="15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7">
        <f>SUM(K170, N170:AB170) - AH170</f>
        <v>5</v>
      </c>
      <c r="AJ170" s="2"/>
      <c r="AK170" s="2"/>
      <c r="AL170" s="2"/>
      <c r="AM170" s="2"/>
      <c r="AN170" s="2"/>
      <c r="AO170" s="2"/>
    </row>
    <row r="171" spans="1:41" ht="13.5">
      <c r="A171" s="11">
        <v>18</v>
      </c>
      <c r="B171" s="12" t="s">
        <v>36</v>
      </c>
      <c r="C171" s="11" t="s">
        <v>37</v>
      </c>
      <c r="D171" s="11" t="s">
        <v>38</v>
      </c>
      <c r="E171" s="11" t="s">
        <v>38</v>
      </c>
      <c r="F171" s="13" t="s">
        <v>75</v>
      </c>
      <c r="G171" s="14">
        <v>50000</v>
      </c>
      <c r="H171" s="25" t="s">
        <v>76</v>
      </c>
      <c r="I171" s="11" t="s">
        <v>41</v>
      </c>
      <c r="J171" s="11" t="s">
        <v>42</v>
      </c>
      <c r="K171" s="15">
        <v>4</v>
      </c>
      <c r="L171" s="15"/>
      <c r="M171" s="15" t="e">
        <f>#REF!=L171</f>
        <v>#REF!</v>
      </c>
      <c r="N171" s="15"/>
      <c r="O171" s="15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7">
        <f>SUM(K171, N171:AB171) - AH171</f>
        <v>4</v>
      </c>
      <c r="AJ171" s="2"/>
      <c r="AK171" s="2"/>
      <c r="AL171" s="2"/>
      <c r="AM171" s="2"/>
      <c r="AN171" s="2"/>
      <c r="AO171" s="2"/>
    </row>
    <row r="172" spans="1:41" ht="13.5">
      <c r="A172" s="11">
        <v>22</v>
      </c>
      <c r="B172" s="12" t="s">
        <v>36</v>
      </c>
      <c r="C172" s="11" t="s">
        <v>37</v>
      </c>
      <c r="D172" s="11" t="s">
        <v>77</v>
      </c>
      <c r="E172" s="11" t="s">
        <v>85</v>
      </c>
      <c r="F172" s="13" t="s">
        <v>86</v>
      </c>
      <c r="G172" s="14">
        <v>30000</v>
      </c>
      <c r="H172" s="25" t="s">
        <v>87</v>
      </c>
      <c r="I172" s="11" t="s">
        <v>41</v>
      </c>
      <c r="J172" s="11" t="s">
        <v>42</v>
      </c>
      <c r="K172" s="15">
        <v>5</v>
      </c>
      <c r="L172" s="15"/>
      <c r="M172" s="15" t="e">
        <f>#REF!=L172</f>
        <v>#REF!</v>
      </c>
      <c r="N172" s="15"/>
      <c r="O172" s="15"/>
      <c r="P172" s="16"/>
      <c r="Q172" s="16"/>
      <c r="R172" s="16">
        <v>2</v>
      </c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>
        <v>5</v>
      </c>
      <c r="AI172" s="17">
        <f>SUM(K172, N172:AB172) - AH172</f>
        <v>2</v>
      </c>
      <c r="AJ172" s="2"/>
      <c r="AK172" s="2"/>
      <c r="AL172" s="2"/>
      <c r="AM172" s="2"/>
      <c r="AN172" s="2"/>
      <c r="AO172" s="2"/>
    </row>
    <row r="173" spans="1:41" ht="13.5">
      <c r="A173" s="11">
        <v>23</v>
      </c>
      <c r="B173" s="12" t="s">
        <v>36</v>
      </c>
      <c r="C173" s="11" t="s">
        <v>37</v>
      </c>
      <c r="D173" s="11" t="s">
        <v>77</v>
      </c>
      <c r="E173" s="11" t="s">
        <v>85</v>
      </c>
      <c r="F173" s="13" t="s">
        <v>88</v>
      </c>
      <c r="G173" s="14">
        <v>30000</v>
      </c>
      <c r="H173" s="25" t="s">
        <v>89</v>
      </c>
      <c r="I173" s="11" t="s">
        <v>41</v>
      </c>
      <c r="J173" s="11" t="s">
        <v>42</v>
      </c>
      <c r="K173" s="15">
        <v>5</v>
      </c>
      <c r="L173" s="15"/>
      <c r="M173" s="15" t="e">
        <f>#REF!=L173</f>
        <v>#REF!</v>
      </c>
      <c r="N173" s="15"/>
      <c r="O173" s="15"/>
      <c r="P173" s="16"/>
      <c r="Q173" s="16"/>
      <c r="R173" s="16">
        <v>2</v>
      </c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>
        <v>4</v>
      </c>
      <c r="AI173" s="17">
        <f>SUM(K173, N173:AB173) - AH173</f>
        <v>3</v>
      </c>
      <c r="AJ173" s="2"/>
      <c r="AK173" s="2"/>
      <c r="AL173" s="2"/>
      <c r="AM173" s="2"/>
      <c r="AN173" s="2"/>
      <c r="AO173" s="2"/>
    </row>
    <row r="174" spans="1:41" ht="13.5">
      <c r="A174" s="11">
        <v>21</v>
      </c>
      <c r="B174" s="12" t="s">
        <v>36</v>
      </c>
      <c r="C174" s="11" t="s">
        <v>37</v>
      </c>
      <c r="D174" s="11" t="s">
        <v>77</v>
      </c>
      <c r="E174" s="11" t="s">
        <v>78</v>
      </c>
      <c r="F174" s="13" t="s">
        <v>83</v>
      </c>
      <c r="G174" s="14">
        <v>17000</v>
      </c>
      <c r="H174" s="25" t="s">
        <v>84</v>
      </c>
      <c r="I174" s="11" t="s">
        <v>41</v>
      </c>
      <c r="J174" s="11" t="s">
        <v>42</v>
      </c>
      <c r="K174" s="15">
        <v>5</v>
      </c>
      <c r="L174" s="15"/>
      <c r="M174" s="15" t="e">
        <f>#REF!=L174</f>
        <v>#REF!</v>
      </c>
      <c r="N174" s="15"/>
      <c r="O174" s="15"/>
      <c r="P174" s="16"/>
      <c r="Q174" s="16"/>
      <c r="R174" s="16">
        <v>5</v>
      </c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>
        <v>5</v>
      </c>
      <c r="AI174" s="17">
        <f>SUM(K174, N174:AB174) - AH174</f>
        <v>5</v>
      </c>
      <c r="AJ174" s="2"/>
      <c r="AK174" s="2"/>
      <c r="AL174" s="2"/>
      <c r="AM174" s="2"/>
      <c r="AN174" s="2"/>
      <c r="AO174" s="2"/>
    </row>
    <row r="175" spans="1:41" ht="13.5">
      <c r="A175" s="11">
        <v>19</v>
      </c>
      <c r="B175" s="12" t="s">
        <v>36</v>
      </c>
      <c r="C175" s="11" t="s">
        <v>37</v>
      </c>
      <c r="D175" s="11" t="s">
        <v>77</v>
      </c>
      <c r="E175" s="11" t="s">
        <v>78</v>
      </c>
      <c r="F175" s="13" t="s">
        <v>79</v>
      </c>
      <c r="G175" s="14">
        <v>17000</v>
      </c>
      <c r="H175" s="25" t="s">
        <v>80</v>
      </c>
      <c r="I175" s="11" t="s">
        <v>41</v>
      </c>
      <c r="J175" s="11" t="s">
        <v>42</v>
      </c>
      <c r="K175" s="15">
        <v>5</v>
      </c>
      <c r="L175" s="15"/>
      <c r="M175" s="15" t="e">
        <f>#REF!=L175</f>
        <v>#REF!</v>
      </c>
      <c r="N175" s="15"/>
      <c r="O175" s="15"/>
      <c r="P175" s="16"/>
      <c r="Q175" s="16"/>
      <c r="R175" s="16">
        <v>5</v>
      </c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>
        <v>5</v>
      </c>
      <c r="AI175" s="17">
        <f>SUM(K175, N175:AB175) - AH175</f>
        <v>5</v>
      </c>
      <c r="AJ175" s="2"/>
      <c r="AK175" s="2"/>
      <c r="AL175" s="2"/>
      <c r="AM175" s="2"/>
      <c r="AN175" s="2"/>
      <c r="AO175" s="2"/>
    </row>
    <row r="176" spans="1:41" ht="13.5">
      <c r="A176" s="11">
        <v>20</v>
      </c>
      <c r="B176" s="12" t="s">
        <v>36</v>
      </c>
      <c r="C176" s="11" t="s">
        <v>37</v>
      </c>
      <c r="D176" s="11" t="s">
        <v>77</v>
      </c>
      <c r="E176" s="11" t="s">
        <v>78</v>
      </c>
      <c r="F176" s="13" t="s">
        <v>81</v>
      </c>
      <c r="G176" s="14">
        <v>17000</v>
      </c>
      <c r="H176" s="25" t="s">
        <v>82</v>
      </c>
      <c r="I176" s="11" t="s">
        <v>41</v>
      </c>
      <c r="J176" s="11" t="s">
        <v>42</v>
      </c>
      <c r="K176" s="15">
        <v>5</v>
      </c>
      <c r="L176" s="15"/>
      <c r="M176" s="15" t="e">
        <f>#REF!=L176</f>
        <v>#REF!</v>
      </c>
      <c r="N176" s="15"/>
      <c r="O176" s="15"/>
      <c r="P176" s="16"/>
      <c r="Q176" s="16"/>
      <c r="R176" s="16">
        <v>5</v>
      </c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>
        <v>5</v>
      </c>
      <c r="AI176" s="17">
        <f>SUM(K176, N176:AB176) - AH176</f>
        <v>5</v>
      </c>
      <c r="AJ176" s="2"/>
      <c r="AK176" s="2"/>
      <c r="AL176" s="2"/>
      <c r="AM176" s="2"/>
      <c r="AN176" s="2"/>
      <c r="AO176" s="2"/>
    </row>
    <row r="177" spans="1:41" ht="13.5">
      <c r="A177" s="11">
        <v>58</v>
      </c>
      <c r="B177" s="12" t="s">
        <v>159</v>
      </c>
      <c r="C177" s="11" t="s">
        <v>160</v>
      </c>
      <c r="D177" s="11" t="s">
        <v>106</v>
      </c>
      <c r="E177" s="11" t="s">
        <v>121</v>
      </c>
      <c r="F177" s="11" t="s">
        <v>175</v>
      </c>
      <c r="G177" s="14">
        <v>4500</v>
      </c>
      <c r="H177" s="25" t="s">
        <v>176</v>
      </c>
      <c r="I177" s="11" t="s">
        <v>41</v>
      </c>
      <c r="J177" s="12" t="s">
        <v>164</v>
      </c>
      <c r="K177" s="15">
        <v>3</v>
      </c>
      <c r="L177" s="15"/>
      <c r="M177" s="15"/>
      <c r="N177" s="15"/>
      <c r="O177" s="15"/>
      <c r="P177" s="16"/>
      <c r="Q177" s="16"/>
      <c r="R177" s="16"/>
      <c r="S177" s="16"/>
      <c r="T177" s="16">
        <v>5</v>
      </c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>
        <v>5</v>
      </c>
      <c r="AI177" s="17">
        <f>SUM(K177, N177:AB177) - AH177</f>
        <v>3</v>
      </c>
      <c r="AJ177" s="2"/>
      <c r="AK177" s="2"/>
      <c r="AL177" s="2"/>
      <c r="AM177" s="2"/>
      <c r="AN177" s="2"/>
      <c r="AO177" s="2"/>
    </row>
    <row r="178" spans="1:41" ht="13.5">
      <c r="A178" s="11">
        <v>55</v>
      </c>
      <c r="B178" s="12" t="s">
        <v>159</v>
      </c>
      <c r="C178" s="11" t="s">
        <v>160</v>
      </c>
      <c r="D178" s="11" t="s">
        <v>106</v>
      </c>
      <c r="E178" s="11" t="s">
        <v>161</v>
      </c>
      <c r="F178" s="11" t="s">
        <v>169</v>
      </c>
      <c r="G178" s="14">
        <v>14000</v>
      </c>
      <c r="H178" s="25" t="s">
        <v>170</v>
      </c>
      <c r="I178" s="11" t="s">
        <v>41</v>
      </c>
      <c r="J178" s="12" t="s">
        <v>164</v>
      </c>
      <c r="K178" s="15">
        <v>3</v>
      </c>
      <c r="L178" s="15">
        <v>3</v>
      </c>
      <c r="M178" s="15" t="e">
        <f>#REF!=L178</f>
        <v>#REF!</v>
      </c>
      <c r="N178" s="15"/>
      <c r="O178" s="15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7">
        <f>SUM(K178, N178:AB178) - AH178</f>
        <v>3</v>
      </c>
      <c r="AJ178" s="2"/>
      <c r="AK178" s="2"/>
      <c r="AL178" s="2"/>
      <c r="AM178" s="2"/>
      <c r="AN178" s="2"/>
      <c r="AO178" s="2"/>
    </row>
    <row r="179" spans="1:41" ht="13.5">
      <c r="A179" s="11">
        <v>64</v>
      </c>
      <c r="B179" s="12" t="s">
        <v>159</v>
      </c>
      <c r="C179" s="11" t="s">
        <v>160</v>
      </c>
      <c r="D179" s="11" t="s">
        <v>106</v>
      </c>
      <c r="E179" s="11" t="s">
        <v>121</v>
      </c>
      <c r="F179" s="11" t="s">
        <v>187</v>
      </c>
      <c r="G179" s="14">
        <v>4500</v>
      </c>
      <c r="H179" s="25" t="s">
        <v>188</v>
      </c>
      <c r="I179" s="11" t="s">
        <v>41</v>
      </c>
      <c r="J179" s="12" t="s">
        <v>164</v>
      </c>
      <c r="K179" s="15">
        <v>2</v>
      </c>
      <c r="L179" s="15"/>
      <c r="M179" s="15"/>
      <c r="N179" s="15"/>
      <c r="O179" s="15"/>
      <c r="P179" s="16"/>
      <c r="Q179" s="16"/>
      <c r="R179" s="16"/>
      <c r="S179" s="16"/>
      <c r="T179" s="16">
        <v>5</v>
      </c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>
        <v>2</v>
      </c>
      <c r="AI179" s="17">
        <f>SUM(K179, N179:AB179) - AH179</f>
        <v>5</v>
      </c>
      <c r="AJ179" s="2"/>
      <c r="AK179" s="2"/>
      <c r="AL179" s="2"/>
      <c r="AM179" s="2"/>
      <c r="AN179" s="2"/>
      <c r="AO179" s="2"/>
    </row>
    <row r="180" spans="1:41" ht="13.5">
      <c r="A180" s="11">
        <v>156</v>
      </c>
      <c r="B180" s="12" t="s">
        <v>420</v>
      </c>
      <c r="C180" s="11" t="s">
        <v>160</v>
      </c>
      <c r="D180" s="11" t="s">
        <v>99</v>
      </c>
      <c r="E180" s="11" t="s">
        <v>224</v>
      </c>
      <c r="F180" s="13" t="s">
        <v>421</v>
      </c>
      <c r="G180" s="19">
        <v>6500</v>
      </c>
      <c r="H180" s="25" t="s">
        <v>422</v>
      </c>
      <c r="I180" s="11" t="s">
        <v>41</v>
      </c>
      <c r="J180" s="12" t="s">
        <v>164</v>
      </c>
      <c r="K180" s="15">
        <v>20</v>
      </c>
      <c r="L180" s="15">
        <v>20</v>
      </c>
      <c r="M180" s="15" t="e">
        <f>#REF!=L180</f>
        <v>#REF!</v>
      </c>
      <c r="N180" s="15"/>
      <c r="O180" s="15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>
        <v>2</v>
      </c>
      <c r="AI180" s="17">
        <f>SUM(K180, N180:AB180) - AH180</f>
        <v>18</v>
      </c>
      <c r="AJ180" s="2"/>
      <c r="AK180" s="2"/>
      <c r="AL180" s="2"/>
      <c r="AM180" s="2"/>
      <c r="AN180" s="2"/>
      <c r="AO180" s="2"/>
    </row>
    <row r="181" spans="1:41" ht="13.5">
      <c r="A181" s="11">
        <v>158</v>
      </c>
      <c r="B181" s="12" t="s">
        <v>420</v>
      </c>
      <c r="C181" s="11" t="s">
        <v>160</v>
      </c>
      <c r="D181" s="11" t="s">
        <v>246</v>
      </c>
      <c r="E181" s="11" t="s">
        <v>298</v>
      </c>
      <c r="F181" s="13" t="s">
        <v>425</v>
      </c>
      <c r="G181" s="19">
        <v>1500</v>
      </c>
      <c r="H181" s="25" t="s">
        <v>426</v>
      </c>
      <c r="I181" s="11" t="s">
        <v>41</v>
      </c>
      <c r="J181" s="12" t="s">
        <v>164</v>
      </c>
      <c r="K181" s="15">
        <v>20</v>
      </c>
      <c r="L181" s="15">
        <v>20</v>
      </c>
      <c r="M181" s="15" t="e">
        <f>#REF!=L181</f>
        <v>#REF!</v>
      </c>
      <c r="N181" s="15"/>
      <c r="O181" s="15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>
        <v>8</v>
      </c>
      <c r="AI181" s="17">
        <f>SUM(K181, N181:AB181) - AH181</f>
        <v>12</v>
      </c>
      <c r="AJ181" s="2"/>
      <c r="AK181" s="2"/>
      <c r="AL181" s="2"/>
      <c r="AM181" s="2"/>
      <c r="AN181" s="2"/>
      <c r="AO181" s="2"/>
    </row>
    <row r="182" spans="1:41" ht="13.5">
      <c r="A182" s="11">
        <v>157</v>
      </c>
      <c r="B182" s="12" t="s">
        <v>420</v>
      </c>
      <c r="C182" s="11" t="s">
        <v>160</v>
      </c>
      <c r="D182" s="11" t="s">
        <v>99</v>
      </c>
      <c r="E182" s="11" t="s">
        <v>224</v>
      </c>
      <c r="F182" s="13" t="s">
        <v>423</v>
      </c>
      <c r="G182" s="19">
        <v>7000</v>
      </c>
      <c r="H182" s="25" t="s">
        <v>424</v>
      </c>
      <c r="I182" s="11" t="s">
        <v>41</v>
      </c>
      <c r="J182" s="12" t="s">
        <v>164</v>
      </c>
      <c r="K182" s="15">
        <v>20</v>
      </c>
      <c r="L182" s="15">
        <v>20</v>
      </c>
      <c r="M182" s="15" t="e">
        <f>#REF!=L182</f>
        <v>#REF!</v>
      </c>
      <c r="N182" s="15"/>
      <c r="O182" s="15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>
        <v>1</v>
      </c>
      <c r="AI182" s="17">
        <f>SUM(K182, N182:AB182) - AH182</f>
        <v>19</v>
      </c>
      <c r="AJ182" s="2"/>
      <c r="AK182" s="2"/>
      <c r="AL182" s="2"/>
      <c r="AM182" s="2"/>
      <c r="AN182" s="2"/>
      <c r="AO182" s="2"/>
    </row>
    <row r="183" spans="1:41" ht="13.5">
      <c r="A183" s="11">
        <v>126</v>
      </c>
      <c r="B183" s="12" t="s">
        <v>344</v>
      </c>
      <c r="C183" s="11" t="s">
        <v>160</v>
      </c>
      <c r="D183" s="11" t="s">
        <v>99</v>
      </c>
      <c r="E183" s="11" t="s">
        <v>100</v>
      </c>
      <c r="F183" s="13" t="s">
        <v>348</v>
      </c>
      <c r="G183" s="19">
        <v>8000</v>
      </c>
      <c r="H183" s="25" t="s">
        <v>349</v>
      </c>
      <c r="I183" s="11" t="s">
        <v>41</v>
      </c>
      <c r="J183" s="12" t="s">
        <v>164</v>
      </c>
      <c r="K183" s="15">
        <v>12</v>
      </c>
      <c r="L183" s="15">
        <v>12</v>
      </c>
      <c r="M183" s="15" t="e">
        <f>#REF!=L183</f>
        <v>#REF!</v>
      </c>
      <c r="N183" s="15"/>
      <c r="O183" s="15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>
        <v>5</v>
      </c>
      <c r="AE183" s="16"/>
      <c r="AF183" s="16"/>
      <c r="AG183" s="16"/>
      <c r="AH183" s="16">
        <v>10</v>
      </c>
      <c r="AI183" s="17">
        <f>SUM(K183, N183:AB183) - AH183</f>
        <v>2</v>
      </c>
      <c r="AJ183" s="2"/>
      <c r="AK183" s="2"/>
      <c r="AL183" s="2"/>
      <c r="AM183" s="2"/>
      <c r="AN183" s="2"/>
      <c r="AO183" s="2"/>
    </row>
    <row r="184" spans="1:41" ht="13.5">
      <c r="A184" s="11">
        <v>125</v>
      </c>
      <c r="B184" s="12" t="s">
        <v>344</v>
      </c>
      <c r="C184" s="11" t="s">
        <v>160</v>
      </c>
      <c r="D184" s="11" t="s">
        <v>219</v>
      </c>
      <c r="E184" s="11" t="s">
        <v>345</v>
      </c>
      <c r="F184" s="13" t="s">
        <v>346</v>
      </c>
      <c r="G184" s="19">
        <v>15000</v>
      </c>
      <c r="H184" s="25" t="s">
        <v>347</v>
      </c>
      <c r="I184" s="11" t="s">
        <v>41</v>
      </c>
      <c r="J184" s="12" t="s">
        <v>164</v>
      </c>
      <c r="K184" s="15">
        <v>5</v>
      </c>
      <c r="L184" s="15">
        <v>7</v>
      </c>
      <c r="M184" s="15" t="e">
        <f>#REF!=L184</f>
        <v>#REF!</v>
      </c>
      <c r="N184" s="15"/>
      <c r="O184" s="15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>
        <v>5</v>
      </c>
      <c r="AI184" s="17">
        <f>SUM(K184, N184:AB184) - AH184</f>
        <v>0</v>
      </c>
      <c r="AJ184" s="2"/>
      <c r="AK184" s="2"/>
      <c r="AL184" s="2"/>
      <c r="AM184" s="2"/>
      <c r="AN184" s="2"/>
      <c r="AO184" s="2"/>
    </row>
    <row r="185" spans="1:41" ht="13.5">
      <c r="A185" s="11">
        <v>61</v>
      </c>
      <c r="B185" s="12" t="s">
        <v>159</v>
      </c>
      <c r="C185" s="11" t="s">
        <v>160</v>
      </c>
      <c r="D185" s="11" t="s">
        <v>106</v>
      </c>
      <c r="E185" s="11" t="s">
        <v>121</v>
      </c>
      <c r="F185" s="11" t="s">
        <v>181</v>
      </c>
      <c r="G185" s="14">
        <v>4500</v>
      </c>
      <c r="H185" s="25" t="s">
        <v>182</v>
      </c>
      <c r="I185" s="11" t="s">
        <v>41</v>
      </c>
      <c r="J185" s="12" t="s">
        <v>164</v>
      </c>
      <c r="K185" s="15">
        <v>3</v>
      </c>
      <c r="L185" s="15">
        <v>5</v>
      </c>
      <c r="M185" s="15" t="e">
        <f>#REF!=L185</f>
        <v>#REF!</v>
      </c>
      <c r="N185" s="15"/>
      <c r="O185" s="15"/>
      <c r="P185" s="16"/>
      <c r="Q185" s="16"/>
      <c r="R185" s="16"/>
      <c r="S185" s="16"/>
      <c r="T185" s="16">
        <v>10</v>
      </c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>
        <v>2</v>
      </c>
      <c r="AI185" s="17">
        <f>SUM(K185, N185:AB185) - AH185</f>
        <v>11</v>
      </c>
      <c r="AJ185" s="2"/>
      <c r="AK185" s="2"/>
      <c r="AL185" s="2"/>
      <c r="AM185" s="2"/>
      <c r="AN185" s="2"/>
      <c r="AO185" s="2"/>
    </row>
    <row r="186" spans="1:41" ht="13.5">
      <c r="A186" s="11">
        <v>63</v>
      </c>
      <c r="B186" s="12" t="s">
        <v>159</v>
      </c>
      <c r="C186" s="11" t="s">
        <v>160</v>
      </c>
      <c r="D186" s="11" t="s">
        <v>106</v>
      </c>
      <c r="E186" s="11" t="s">
        <v>121</v>
      </c>
      <c r="F186" s="11" t="s">
        <v>185</v>
      </c>
      <c r="G186" s="14">
        <v>4500</v>
      </c>
      <c r="H186" s="25" t="s">
        <v>186</v>
      </c>
      <c r="I186" s="11" t="s">
        <v>41</v>
      </c>
      <c r="J186" s="12" t="s">
        <v>164</v>
      </c>
      <c r="K186" s="15">
        <v>2</v>
      </c>
      <c r="L186" s="15"/>
      <c r="M186" s="15"/>
      <c r="N186" s="15"/>
      <c r="O186" s="15"/>
      <c r="P186" s="16"/>
      <c r="Q186" s="16"/>
      <c r="R186" s="16"/>
      <c r="S186" s="16"/>
      <c r="T186" s="16">
        <v>5</v>
      </c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>
        <v>3</v>
      </c>
      <c r="AI186" s="17">
        <f>SUM(K186, N186:AB186) - AH186</f>
        <v>4</v>
      </c>
      <c r="AJ186" s="2"/>
      <c r="AK186" s="2"/>
      <c r="AL186" s="2"/>
      <c r="AM186" s="2"/>
      <c r="AN186" s="2"/>
      <c r="AO186" s="2"/>
    </row>
    <row r="187" spans="1:41" ht="13.5">
      <c r="A187" s="11">
        <v>57</v>
      </c>
      <c r="B187" s="12" t="s">
        <v>159</v>
      </c>
      <c r="C187" s="11" t="s">
        <v>160</v>
      </c>
      <c r="D187" s="11" t="s">
        <v>106</v>
      </c>
      <c r="E187" s="11" t="s">
        <v>121</v>
      </c>
      <c r="F187" s="11" t="s">
        <v>173</v>
      </c>
      <c r="G187" s="14">
        <v>4500</v>
      </c>
      <c r="H187" s="25" t="s">
        <v>174</v>
      </c>
      <c r="I187" s="11" t="s">
        <v>41</v>
      </c>
      <c r="J187" s="12" t="s">
        <v>164</v>
      </c>
      <c r="K187" s="15">
        <v>2</v>
      </c>
      <c r="L187" s="15"/>
      <c r="M187" s="15"/>
      <c r="N187" s="15"/>
      <c r="O187" s="15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>
        <v>2</v>
      </c>
      <c r="AI187" s="17">
        <f>SUM(K187, N187:AB187) - AH187</f>
        <v>0</v>
      </c>
      <c r="AJ187" s="2"/>
      <c r="AK187" s="2"/>
      <c r="AL187" s="2"/>
      <c r="AM187" s="2"/>
      <c r="AN187" s="2"/>
      <c r="AO187" s="2"/>
    </row>
    <row r="188" spans="1:41" ht="13.5">
      <c r="A188" s="11">
        <v>60</v>
      </c>
      <c r="B188" s="12" t="s">
        <v>159</v>
      </c>
      <c r="C188" s="11" t="s">
        <v>160</v>
      </c>
      <c r="D188" s="11" t="s">
        <v>106</v>
      </c>
      <c r="E188" s="11" t="s">
        <v>121</v>
      </c>
      <c r="F188" s="11" t="s">
        <v>179</v>
      </c>
      <c r="G188" s="14">
        <v>18000</v>
      </c>
      <c r="H188" s="25" t="s">
        <v>180</v>
      </c>
      <c r="I188" s="11" t="s">
        <v>41</v>
      </c>
      <c r="J188" s="12" t="s">
        <v>164</v>
      </c>
      <c r="K188" s="15">
        <v>10</v>
      </c>
      <c r="L188" s="15">
        <v>5</v>
      </c>
      <c r="M188" s="15" t="e">
        <f>#REF!=L188</f>
        <v>#REF!</v>
      </c>
      <c r="N188" s="15"/>
      <c r="O188" s="15"/>
      <c r="P188" s="16">
        <v>8</v>
      </c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>
        <v>18</v>
      </c>
      <c r="AI188" s="17">
        <f>SUM(K188, N188:AB188) - AH188</f>
        <v>0</v>
      </c>
      <c r="AJ188" s="2"/>
      <c r="AK188" s="2"/>
      <c r="AL188" s="2"/>
      <c r="AM188" s="2"/>
      <c r="AN188" s="2"/>
      <c r="AO188" s="2"/>
    </row>
    <row r="189" spans="1:41" ht="13.5">
      <c r="A189" s="11">
        <v>91</v>
      </c>
      <c r="B189" s="12" t="s">
        <v>241</v>
      </c>
      <c r="C189" s="11" t="s">
        <v>160</v>
      </c>
      <c r="D189" s="11" t="s">
        <v>99</v>
      </c>
      <c r="E189" s="11" t="s">
        <v>224</v>
      </c>
      <c r="F189" s="18" t="s">
        <v>264</v>
      </c>
      <c r="G189" s="19">
        <v>6000</v>
      </c>
      <c r="H189" s="25" t="s">
        <v>265</v>
      </c>
      <c r="I189" s="11" t="s">
        <v>41</v>
      </c>
      <c r="J189" s="11" t="s">
        <v>42</v>
      </c>
      <c r="K189" s="15">
        <v>10</v>
      </c>
      <c r="L189" s="15"/>
      <c r="M189" s="15" t="e">
        <f>#REF!=L189</f>
        <v>#REF!</v>
      </c>
      <c r="N189" s="15"/>
      <c r="O189" s="15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7">
        <f>SUM(K189, N189:AB189) - AH189</f>
        <v>10</v>
      </c>
      <c r="AJ189" s="2"/>
      <c r="AK189" s="2"/>
      <c r="AL189" s="2"/>
      <c r="AM189" s="2"/>
      <c r="AN189" s="2"/>
      <c r="AO189" s="2"/>
    </row>
    <row r="190" spans="1:41" ht="13.5">
      <c r="A190" s="11">
        <v>89</v>
      </c>
      <c r="B190" s="12" t="s">
        <v>241</v>
      </c>
      <c r="C190" s="11" t="s">
        <v>160</v>
      </c>
      <c r="D190" s="11" t="s">
        <v>99</v>
      </c>
      <c r="E190" s="11" t="s">
        <v>224</v>
      </c>
      <c r="F190" s="18" t="s">
        <v>260</v>
      </c>
      <c r="G190" s="19">
        <v>6000</v>
      </c>
      <c r="H190" s="25" t="s">
        <v>261</v>
      </c>
      <c r="I190" s="11" t="s">
        <v>41</v>
      </c>
      <c r="J190" s="11" t="s">
        <v>42</v>
      </c>
      <c r="K190" s="15">
        <v>10</v>
      </c>
      <c r="L190" s="15"/>
      <c r="M190" s="15" t="e">
        <f>#REF!=L190</f>
        <v>#REF!</v>
      </c>
      <c r="N190" s="15"/>
      <c r="O190" s="15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7">
        <f>SUM(K190, N190:AB190) - AH190</f>
        <v>10</v>
      </c>
      <c r="AJ190" s="2"/>
      <c r="AK190" s="2"/>
      <c r="AL190" s="2"/>
      <c r="AM190" s="2"/>
      <c r="AN190" s="2"/>
      <c r="AO190" s="2"/>
    </row>
    <row r="191" spans="1:41" ht="13.5">
      <c r="A191" s="11">
        <v>90</v>
      </c>
      <c r="B191" s="12" t="s">
        <v>241</v>
      </c>
      <c r="C191" s="11" t="s">
        <v>160</v>
      </c>
      <c r="D191" s="11" t="s">
        <v>99</v>
      </c>
      <c r="E191" s="11" t="s">
        <v>224</v>
      </c>
      <c r="F191" s="18" t="s">
        <v>262</v>
      </c>
      <c r="G191" s="19">
        <v>6000</v>
      </c>
      <c r="H191" s="25" t="s">
        <v>263</v>
      </c>
      <c r="I191" s="11" t="s">
        <v>41</v>
      </c>
      <c r="J191" s="11" t="s">
        <v>42</v>
      </c>
      <c r="K191" s="15">
        <v>10</v>
      </c>
      <c r="L191" s="15"/>
      <c r="M191" s="15" t="e">
        <f>#REF!=L191</f>
        <v>#REF!</v>
      </c>
      <c r="N191" s="15"/>
      <c r="O191" s="15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7">
        <f>SUM(K191, N191:AB191) - AH191</f>
        <v>10</v>
      </c>
      <c r="AJ191" s="2"/>
      <c r="AK191" s="2"/>
      <c r="AL191" s="2"/>
      <c r="AM191" s="2"/>
      <c r="AN191" s="2"/>
      <c r="AO191" s="2"/>
    </row>
    <row r="192" spans="1:41" ht="13.5">
      <c r="A192" s="11">
        <v>87</v>
      </c>
      <c r="B192" s="12" t="s">
        <v>241</v>
      </c>
      <c r="C192" s="11" t="s">
        <v>160</v>
      </c>
      <c r="D192" s="11" t="s">
        <v>99</v>
      </c>
      <c r="E192" s="11" t="s">
        <v>224</v>
      </c>
      <c r="F192" s="18" t="s">
        <v>256</v>
      </c>
      <c r="G192" s="19">
        <v>6000</v>
      </c>
      <c r="H192" s="25" t="s">
        <v>257</v>
      </c>
      <c r="I192" s="11" t="s">
        <v>41</v>
      </c>
      <c r="J192" s="11" t="s">
        <v>42</v>
      </c>
      <c r="K192" s="15">
        <v>10</v>
      </c>
      <c r="L192" s="15"/>
      <c r="M192" s="15" t="e">
        <f>#REF!=L192</f>
        <v>#REF!</v>
      </c>
      <c r="N192" s="15"/>
      <c r="O192" s="15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7">
        <f>SUM(K192, N192:AB192) - AH192</f>
        <v>10</v>
      </c>
      <c r="AJ192" s="2"/>
      <c r="AK192" s="2"/>
      <c r="AL192" s="2"/>
      <c r="AM192" s="2"/>
      <c r="AN192" s="2"/>
      <c r="AO192" s="2"/>
    </row>
    <row r="193" spans="1:41" ht="13.5">
      <c r="A193" s="11">
        <v>84</v>
      </c>
      <c r="B193" s="12" t="s">
        <v>241</v>
      </c>
      <c r="C193" s="11" t="s">
        <v>160</v>
      </c>
      <c r="D193" s="11" t="s">
        <v>229</v>
      </c>
      <c r="E193" s="11" t="s">
        <v>230</v>
      </c>
      <c r="F193" s="13" t="s">
        <v>250</v>
      </c>
      <c r="G193" s="19">
        <v>1500</v>
      </c>
      <c r="H193" s="25" t="s">
        <v>251</v>
      </c>
      <c r="I193" s="11" t="s">
        <v>41</v>
      </c>
      <c r="J193" s="11" t="s">
        <v>42</v>
      </c>
      <c r="K193" s="15">
        <v>30</v>
      </c>
      <c r="L193" s="15"/>
      <c r="M193" s="15" t="e">
        <f>#REF!=L193</f>
        <v>#REF!</v>
      </c>
      <c r="N193" s="15"/>
      <c r="O193" s="15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>
        <v>19</v>
      </c>
      <c r="AI193" s="17">
        <f>SUM(K193, N193:AB193) - AH193</f>
        <v>11</v>
      </c>
      <c r="AJ193" s="2"/>
      <c r="AK193" s="2"/>
      <c r="AL193" s="2"/>
      <c r="AM193" s="2"/>
      <c r="AN193" s="2"/>
      <c r="AO193" s="2"/>
    </row>
    <row r="194" spans="1:41" ht="13.5">
      <c r="A194" s="11">
        <v>85</v>
      </c>
      <c r="B194" s="12" t="s">
        <v>241</v>
      </c>
      <c r="C194" s="11" t="s">
        <v>160</v>
      </c>
      <c r="D194" s="11" t="s">
        <v>229</v>
      </c>
      <c r="E194" s="11" t="s">
        <v>233</v>
      </c>
      <c r="F194" s="13" t="s">
        <v>252</v>
      </c>
      <c r="G194" s="19">
        <v>11000</v>
      </c>
      <c r="H194" s="25" t="s">
        <v>253</v>
      </c>
      <c r="I194" s="11" t="s">
        <v>41</v>
      </c>
      <c r="J194" s="11" t="s">
        <v>42</v>
      </c>
      <c r="K194" s="15">
        <v>5</v>
      </c>
      <c r="L194" s="15"/>
      <c r="M194" s="15" t="e">
        <f>#REF!=L194</f>
        <v>#REF!</v>
      </c>
      <c r="N194" s="15"/>
      <c r="O194" s="15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>
        <v>5</v>
      </c>
      <c r="AE194" s="16"/>
      <c r="AF194" s="16"/>
      <c r="AG194" s="16"/>
      <c r="AH194" s="16">
        <v>5</v>
      </c>
      <c r="AI194" s="17">
        <f>SUM(K194, N194:AB194) - AH194</f>
        <v>0</v>
      </c>
      <c r="AJ194" s="2"/>
      <c r="AK194" s="2"/>
      <c r="AL194" s="2"/>
      <c r="AM194" s="2"/>
      <c r="AN194" s="2"/>
      <c r="AO194" s="2"/>
    </row>
    <row r="195" spans="1:41" ht="13.5">
      <c r="A195" s="11">
        <v>127</v>
      </c>
      <c r="B195" s="12" t="s">
        <v>344</v>
      </c>
      <c r="C195" s="11" t="s">
        <v>160</v>
      </c>
      <c r="D195" s="11" t="s">
        <v>106</v>
      </c>
      <c r="E195" s="11" t="s">
        <v>192</v>
      </c>
      <c r="F195" s="13" t="s">
        <v>350</v>
      </c>
      <c r="G195" s="19">
        <v>15000</v>
      </c>
      <c r="H195" s="25" t="s">
        <v>351</v>
      </c>
      <c r="I195" s="11" t="s">
        <v>41</v>
      </c>
      <c r="J195" s="12" t="s">
        <v>164</v>
      </c>
      <c r="K195" s="15">
        <v>5</v>
      </c>
      <c r="L195" s="15">
        <v>7</v>
      </c>
      <c r="M195" s="15" t="e">
        <f>#REF!=L195</f>
        <v>#REF!</v>
      </c>
      <c r="N195" s="15"/>
      <c r="O195" s="15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>
        <v>4</v>
      </c>
      <c r="AI195" s="17">
        <f>SUM(K195, N195:AB195) - AH195</f>
        <v>1</v>
      </c>
      <c r="AJ195" s="2"/>
      <c r="AK195" s="2"/>
      <c r="AL195" s="2"/>
      <c r="AM195" s="2"/>
      <c r="AN195" s="2"/>
      <c r="AO195" s="2"/>
    </row>
    <row r="196" spans="1:41" ht="13.5">
      <c r="A196" s="11">
        <v>59</v>
      </c>
      <c r="B196" s="12" t="s">
        <v>159</v>
      </c>
      <c r="C196" s="11" t="s">
        <v>160</v>
      </c>
      <c r="D196" s="11" t="s">
        <v>106</v>
      </c>
      <c r="E196" s="11" t="s">
        <v>121</v>
      </c>
      <c r="F196" s="11" t="s">
        <v>177</v>
      </c>
      <c r="G196" s="14">
        <v>4500</v>
      </c>
      <c r="H196" s="25" t="s">
        <v>178</v>
      </c>
      <c r="I196" s="11" t="s">
        <v>41</v>
      </c>
      <c r="J196" s="12" t="s">
        <v>164</v>
      </c>
      <c r="K196" s="15">
        <v>2</v>
      </c>
      <c r="L196" s="15"/>
      <c r="M196" s="15"/>
      <c r="N196" s="15"/>
      <c r="O196" s="15"/>
      <c r="P196" s="16"/>
      <c r="Q196" s="16"/>
      <c r="R196" s="16"/>
      <c r="S196" s="16"/>
      <c r="T196" s="16">
        <v>5</v>
      </c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>
        <v>4</v>
      </c>
      <c r="AI196" s="17">
        <f>SUM(K196, N196:AB196) - AH196</f>
        <v>3</v>
      </c>
      <c r="AJ196" s="2"/>
      <c r="AK196" s="2"/>
      <c r="AL196" s="2"/>
      <c r="AM196" s="2"/>
      <c r="AN196" s="2"/>
      <c r="AO196" s="2"/>
    </row>
    <row r="197" spans="1:41" ht="13.5">
      <c r="A197" s="11">
        <v>227</v>
      </c>
      <c r="B197" s="12" t="s">
        <v>573</v>
      </c>
      <c r="C197" s="11" t="s">
        <v>574</v>
      </c>
      <c r="D197" s="11" t="s">
        <v>575</v>
      </c>
      <c r="E197" s="11" t="s">
        <v>575</v>
      </c>
      <c r="F197" s="11" t="s">
        <v>582</v>
      </c>
      <c r="G197" s="19">
        <v>12000</v>
      </c>
      <c r="H197" s="25" t="s">
        <v>583</v>
      </c>
      <c r="I197" s="11" t="s">
        <v>41</v>
      </c>
      <c r="J197" s="11" t="s">
        <v>42</v>
      </c>
      <c r="K197" s="15">
        <v>20</v>
      </c>
      <c r="L197" s="15">
        <v>20</v>
      </c>
      <c r="M197" s="15" t="e">
        <f>#REF!=L197</f>
        <v>#REF!</v>
      </c>
      <c r="N197" s="15"/>
      <c r="O197" s="15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>
        <v>1</v>
      </c>
      <c r="AI197" s="17">
        <f>SUM(K197, N197:AB197) - AH197</f>
        <v>19</v>
      </c>
      <c r="AJ197" s="2"/>
      <c r="AK197" s="2"/>
      <c r="AL197" s="2"/>
      <c r="AM197" s="2"/>
      <c r="AN197" s="2"/>
      <c r="AO197" s="2"/>
    </row>
    <row r="198" spans="1:41" ht="13.5">
      <c r="A198" s="11">
        <v>226</v>
      </c>
      <c r="B198" s="12" t="s">
        <v>573</v>
      </c>
      <c r="C198" s="11" t="s">
        <v>574</v>
      </c>
      <c r="D198" s="11" t="s">
        <v>575</v>
      </c>
      <c r="E198" s="11" t="s">
        <v>575</v>
      </c>
      <c r="F198" s="11" t="s">
        <v>580</v>
      </c>
      <c r="G198" s="19">
        <v>12000</v>
      </c>
      <c r="H198" s="25" t="s">
        <v>581</v>
      </c>
      <c r="I198" s="11" t="s">
        <v>41</v>
      </c>
      <c r="J198" s="11" t="s">
        <v>42</v>
      </c>
      <c r="K198" s="15">
        <v>20</v>
      </c>
      <c r="L198" s="15">
        <v>20</v>
      </c>
      <c r="M198" s="15" t="e">
        <f>#REF!=L198</f>
        <v>#REF!</v>
      </c>
      <c r="N198" s="15"/>
      <c r="O198" s="15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>
        <v>1</v>
      </c>
      <c r="AI198" s="17">
        <f>SUM(K198, N198:AB198) - AH198</f>
        <v>19</v>
      </c>
      <c r="AJ198" s="2"/>
      <c r="AK198" s="2"/>
      <c r="AL198" s="2"/>
      <c r="AM198" s="2"/>
      <c r="AN198" s="2"/>
      <c r="AO198" s="2"/>
    </row>
    <row r="199" spans="1:41" ht="13.5">
      <c r="A199" s="11">
        <v>62</v>
      </c>
      <c r="B199" s="12" t="s">
        <v>159</v>
      </c>
      <c r="C199" s="11" t="s">
        <v>160</v>
      </c>
      <c r="D199" s="11" t="s">
        <v>106</v>
      </c>
      <c r="E199" s="11" t="s">
        <v>121</v>
      </c>
      <c r="F199" s="11" t="s">
        <v>183</v>
      </c>
      <c r="G199" s="14">
        <v>4500</v>
      </c>
      <c r="H199" s="25" t="s">
        <v>184</v>
      </c>
      <c r="I199" s="11" t="s">
        <v>41</v>
      </c>
      <c r="J199" s="12" t="s">
        <v>164</v>
      </c>
      <c r="K199" s="15">
        <v>3</v>
      </c>
      <c r="L199" s="15"/>
      <c r="M199" s="15"/>
      <c r="N199" s="15"/>
      <c r="O199" s="15"/>
      <c r="P199" s="16"/>
      <c r="Q199" s="16"/>
      <c r="R199" s="16"/>
      <c r="S199" s="16"/>
      <c r="T199" s="16">
        <v>5</v>
      </c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>
        <v>1</v>
      </c>
      <c r="AI199" s="17">
        <f>SUM(K199, N199:AB199) - AH199</f>
        <v>7</v>
      </c>
      <c r="AJ199" s="2"/>
      <c r="AK199" s="2"/>
      <c r="AL199" s="2"/>
      <c r="AM199" s="2"/>
      <c r="AN199" s="2"/>
      <c r="AO199" s="2"/>
    </row>
    <row r="200" spans="1:41" ht="13.5">
      <c r="A200" s="11">
        <v>229</v>
      </c>
      <c r="B200" s="12" t="s">
        <v>584</v>
      </c>
      <c r="C200" s="11" t="s">
        <v>574</v>
      </c>
      <c r="D200" s="11" t="s">
        <v>99</v>
      </c>
      <c r="E200" s="11" t="s">
        <v>585</v>
      </c>
      <c r="F200" s="27" t="s">
        <v>588</v>
      </c>
      <c r="G200" s="19">
        <v>2500</v>
      </c>
      <c r="H200" s="25" t="s">
        <v>589</v>
      </c>
      <c r="I200" s="11" t="s">
        <v>129</v>
      </c>
      <c r="J200" s="11" t="s">
        <v>42</v>
      </c>
      <c r="K200" s="15">
        <v>20</v>
      </c>
      <c r="L200" s="15">
        <v>20</v>
      </c>
      <c r="M200" s="15" t="e">
        <f>#REF!=L200</f>
        <v>#REF!</v>
      </c>
      <c r="N200" s="15"/>
      <c r="O200" s="15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7">
        <f>SUM(K200, N200:AB200) - AH200</f>
        <v>20</v>
      </c>
      <c r="AJ200" s="2"/>
      <c r="AK200" s="2"/>
      <c r="AL200" s="2"/>
      <c r="AM200" s="2"/>
      <c r="AN200" s="2"/>
      <c r="AO200" s="2"/>
    </row>
    <row r="201" spans="1:41" ht="13.5">
      <c r="A201" s="11">
        <v>231</v>
      </c>
      <c r="B201" s="12" t="s">
        <v>584</v>
      </c>
      <c r="C201" s="11" t="s">
        <v>574</v>
      </c>
      <c r="D201" s="11" t="s">
        <v>99</v>
      </c>
      <c r="E201" s="11" t="s">
        <v>585</v>
      </c>
      <c r="F201" s="27" t="s">
        <v>592</v>
      </c>
      <c r="G201" s="19">
        <v>2500</v>
      </c>
      <c r="H201" s="25" t="s">
        <v>593</v>
      </c>
      <c r="I201" s="11" t="s">
        <v>129</v>
      </c>
      <c r="J201" s="11" t="s">
        <v>42</v>
      </c>
      <c r="K201" s="15">
        <v>20</v>
      </c>
      <c r="L201" s="15">
        <v>20</v>
      </c>
      <c r="M201" s="15" t="e">
        <f>#REF!=L201</f>
        <v>#REF!</v>
      </c>
      <c r="N201" s="15"/>
      <c r="O201" s="15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>
        <v>1</v>
      </c>
      <c r="AI201" s="17">
        <f>SUM(K201, N201:AB201) - AH201</f>
        <v>19</v>
      </c>
      <c r="AJ201" s="2"/>
      <c r="AK201" s="2"/>
      <c r="AL201" s="2"/>
      <c r="AM201" s="2"/>
      <c r="AN201" s="2"/>
      <c r="AO201" s="2"/>
    </row>
    <row r="202" spans="1:41" ht="13.5">
      <c r="A202" s="11">
        <v>230</v>
      </c>
      <c r="B202" s="12" t="s">
        <v>584</v>
      </c>
      <c r="C202" s="11" t="s">
        <v>574</v>
      </c>
      <c r="D202" s="11" t="s">
        <v>99</v>
      </c>
      <c r="E202" s="11" t="s">
        <v>585</v>
      </c>
      <c r="F202" s="27" t="s">
        <v>590</v>
      </c>
      <c r="G202" s="19">
        <v>2500</v>
      </c>
      <c r="H202" s="25" t="s">
        <v>591</v>
      </c>
      <c r="I202" s="11" t="s">
        <v>129</v>
      </c>
      <c r="J202" s="11" t="s">
        <v>42</v>
      </c>
      <c r="K202" s="15">
        <v>20</v>
      </c>
      <c r="L202" s="15">
        <v>20</v>
      </c>
      <c r="M202" s="15" t="e">
        <f>#REF!=L202</f>
        <v>#REF!</v>
      </c>
      <c r="N202" s="15"/>
      <c r="O202" s="15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>
        <v>2</v>
      </c>
      <c r="AI202" s="17">
        <f>SUM(K202, N202:AB202) - AH202</f>
        <v>18</v>
      </c>
      <c r="AJ202" s="2"/>
      <c r="AK202" s="2"/>
      <c r="AL202" s="2"/>
      <c r="AM202" s="2"/>
      <c r="AN202" s="2"/>
      <c r="AO202" s="2"/>
    </row>
    <row r="203" spans="1:41" ht="13.5">
      <c r="A203" s="11">
        <v>232</v>
      </c>
      <c r="B203" s="12" t="s">
        <v>584</v>
      </c>
      <c r="C203" s="11" t="s">
        <v>574</v>
      </c>
      <c r="D203" s="11" t="s">
        <v>99</v>
      </c>
      <c r="E203" s="11" t="s">
        <v>585</v>
      </c>
      <c r="F203" s="27" t="s">
        <v>594</v>
      </c>
      <c r="G203" s="19">
        <v>2500</v>
      </c>
      <c r="H203" s="25" t="s">
        <v>595</v>
      </c>
      <c r="I203" s="11" t="s">
        <v>129</v>
      </c>
      <c r="J203" s="11" t="s">
        <v>42</v>
      </c>
      <c r="K203" s="15">
        <v>20</v>
      </c>
      <c r="L203" s="15">
        <v>20</v>
      </c>
      <c r="M203" s="15" t="e">
        <f>#REF!=L203</f>
        <v>#REF!</v>
      </c>
      <c r="N203" s="15"/>
      <c r="O203" s="15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7">
        <f>SUM(K203, N203:AB203) - AH203</f>
        <v>20</v>
      </c>
      <c r="AJ203" s="2"/>
      <c r="AK203" s="2"/>
      <c r="AL203" s="2"/>
      <c r="AM203" s="2"/>
      <c r="AN203" s="2"/>
      <c r="AO203" s="2"/>
    </row>
    <row r="204" spans="1:41" ht="13.5">
      <c r="A204" s="11">
        <v>228</v>
      </c>
      <c r="B204" s="12" t="s">
        <v>584</v>
      </c>
      <c r="C204" s="11" t="s">
        <v>574</v>
      </c>
      <c r="D204" s="11" t="s">
        <v>99</v>
      </c>
      <c r="E204" s="11" t="s">
        <v>585</v>
      </c>
      <c r="F204" s="27" t="s">
        <v>586</v>
      </c>
      <c r="G204" s="19">
        <v>2500</v>
      </c>
      <c r="H204" s="25" t="s">
        <v>587</v>
      </c>
      <c r="I204" s="11" t="s">
        <v>129</v>
      </c>
      <c r="J204" s="11" t="s">
        <v>42</v>
      </c>
      <c r="K204" s="15">
        <v>20</v>
      </c>
      <c r="L204" s="15">
        <v>20</v>
      </c>
      <c r="M204" s="15" t="e">
        <f>#REF!=L204</f>
        <v>#REF!</v>
      </c>
      <c r="N204" s="15"/>
      <c r="O204" s="15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7">
        <f>SUM(K204, N204:AB204) - AH204</f>
        <v>20</v>
      </c>
      <c r="AJ204" s="2"/>
      <c r="AK204" s="2"/>
      <c r="AL204" s="2"/>
      <c r="AM204" s="2"/>
      <c r="AN204" s="2"/>
      <c r="AO204" s="2"/>
    </row>
    <row r="205" spans="1:41" ht="13.5">
      <c r="A205" s="11">
        <v>52</v>
      </c>
      <c r="B205" s="12" t="s">
        <v>159</v>
      </c>
      <c r="C205" s="11" t="s">
        <v>160</v>
      </c>
      <c r="D205" s="11" t="s">
        <v>106</v>
      </c>
      <c r="E205" s="11" t="s">
        <v>161</v>
      </c>
      <c r="F205" s="11" t="s">
        <v>162</v>
      </c>
      <c r="G205" s="14">
        <v>3500</v>
      </c>
      <c r="H205" s="25" t="s">
        <v>163</v>
      </c>
      <c r="I205" s="11" t="s">
        <v>41</v>
      </c>
      <c r="J205" s="12" t="s">
        <v>164</v>
      </c>
      <c r="K205" s="15">
        <v>10</v>
      </c>
      <c r="L205" s="15">
        <v>10</v>
      </c>
      <c r="M205" s="15" t="e">
        <f>#REF!=L205</f>
        <v>#REF!</v>
      </c>
      <c r="N205" s="15"/>
      <c r="O205" s="15"/>
      <c r="P205" s="16">
        <v>72</v>
      </c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>
        <v>144</v>
      </c>
      <c r="AG205" s="16"/>
      <c r="AH205" s="16">
        <v>55</v>
      </c>
      <c r="AI205" s="17">
        <f>SUM(K205, N205:AB205) - AH205</f>
        <v>27</v>
      </c>
      <c r="AJ205" s="2"/>
      <c r="AK205" s="2"/>
      <c r="AL205" s="2"/>
      <c r="AM205" s="2"/>
      <c r="AN205" s="2"/>
      <c r="AO205" s="2"/>
    </row>
    <row r="206" spans="1:41" ht="13.5">
      <c r="A206" s="11">
        <v>54</v>
      </c>
      <c r="B206" s="12" t="s">
        <v>159</v>
      </c>
      <c r="C206" s="11" t="s">
        <v>160</v>
      </c>
      <c r="D206" s="11" t="s">
        <v>106</v>
      </c>
      <c r="E206" s="11" t="s">
        <v>161</v>
      </c>
      <c r="F206" s="11" t="s">
        <v>167</v>
      </c>
      <c r="G206" s="14">
        <v>14000</v>
      </c>
      <c r="H206" s="25" t="s">
        <v>168</v>
      </c>
      <c r="I206" s="11" t="s">
        <v>41</v>
      </c>
      <c r="J206" s="12" t="s">
        <v>164</v>
      </c>
      <c r="K206" s="15">
        <v>4</v>
      </c>
      <c r="L206" s="15">
        <v>4</v>
      </c>
      <c r="M206" s="15" t="e">
        <f>#REF!=L206</f>
        <v>#REF!</v>
      </c>
      <c r="N206" s="15"/>
      <c r="O206" s="15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>
        <v>4</v>
      </c>
      <c r="AI206" s="17">
        <f>SUM(K206, N206:AB206) - AH206</f>
        <v>0</v>
      </c>
      <c r="AJ206" s="2"/>
      <c r="AK206" s="2"/>
      <c r="AL206" s="2"/>
      <c r="AM206" s="2"/>
      <c r="AN206" s="2"/>
      <c r="AO206" s="2"/>
    </row>
    <row r="207" spans="1:41" ht="13.5">
      <c r="A207" s="11">
        <v>109</v>
      </c>
      <c r="B207" s="12" t="s">
        <v>308</v>
      </c>
      <c r="C207" s="11" t="s">
        <v>160</v>
      </c>
      <c r="D207" s="11" t="s">
        <v>242</v>
      </c>
      <c r="E207" s="11" t="s">
        <v>243</v>
      </c>
      <c r="F207" s="11" t="s">
        <v>311</v>
      </c>
      <c r="G207" s="19">
        <v>4900</v>
      </c>
      <c r="H207" s="25" t="s">
        <v>312</v>
      </c>
      <c r="I207" s="11" t="s">
        <v>41</v>
      </c>
      <c r="J207" s="12" t="s">
        <v>164</v>
      </c>
      <c r="K207" s="15">
        <v>2</v>
      </c>
      <c r="L207" s="15"/>
      <c r="M207" s="15" t="e">
        <f>#REF!=L207</f>
        <v>#REF!</v>
      </c>
      <c r="N207" s="15"/>
      <c r="O207" s="15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7">
        <f>SUM(K207, N207:AB207) - AH207</f>
        <v>2</v>
      </c>
      <c r="AJ207" s="2"/>
      <c r="AK207" s="2"/>
      <c r="AL207" s="2"/>
      <c r="AM207" s="2"/>
      <c r="AN207" s="2"/>
      <c r="AO207" s="2"/>
    </row>
    <row r="208" spans="1:41" ht="13.5">
      <c r="A208" s="11">
        <v>110</v>
      </c>
      <c r="B208" s="12" t="s">
        <v>308</v>
      </c>
      <c r="C208" s="11" t="s">
        <v>160</v>
      </c>
      <c r="D208" s="11" t="s">
        <v>242</v>
      </c>
      <c r="E208" s="11" t="s">
        <v>243</v>
      </c>
      <c r="F208" s="11" t="s">
        <v>313</v>
      </c>
      <c r="G208" s="19">
        <v>4900</v>
      </c>
      <c r="H208" s="25" t="s">
        <v>314</v>
      </c>
      <c r="I208" s="11" t="s">
        <v>41</v>
      </c>
      <c r="J208" s="12" t="s">
        <v>164</v>
      </c>
      <c r="K208" s="15">
        <v>2</v>
      </c>
      <c r="L208" s="15"/>
      <c r="M208" s="15" t="e">
        <f>#REF!=L208</f>
        <v>#REF!</v>
      </c>
      <c r="N208" s="15"/>
      <c r="O208" s="15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7">
        <f>SUM(K208, N208:AB208) - AH208</f>
        <v>2</v>
      </c>
      <c r="AJ208" s="2"/>
      <c r="AK208" s="2"/>
      <c r="AL208" s="2"/>
      <c r="AM208" s="2"/>
      <c r="AN208" s="2"/>
      <c r="AO208" s="2"/>
    </row>
    <row r="209" spans="1:41" ht="13.5">
      <c r="A209" s="11">
        <v>111</v>
      </c>
      <c r="B209" s="12" t="s">
        <v>308</v>
      </c>
      <c r="C209" s="11" t="s">
        <v>160</v>
      </c>
      <c r="D209" s="11" t="s">
        <v>242</v>
      </c>
      <c r="E209" s="11" t="s">
        <v>243</v>
      </c>
      <c r="F209" s="11" t="s">
        <v>315</v>
      </c>
      <c r="G209" s="19">
        <v>4900</v>
      </c>
      <c r="H209" s="25" t="s">
        <v>316</v>
      </c>
      <c r="I209" s="11" t="s">
        <v>41</v>
      </c>
      <c r="J209" s="12" t="s">
        <v>164</v>
      </c>
      <c r="K209" s="15">
        <v>3</v>
      </c>
      <c r="L209" s="15"/>
      <c r="M209" s="15" t="e">
        <f>#REF!=L209</f>
        <v>#REF!</v>
      </c>
      <c r="N209" s="15"/>
      <c r="O209" s="15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7">
        <f>SUM(K209, N209:AB209) - AH209</f>
        <v>3</v>
      </c>
      <c r="AJ209" s="2"/>
      <c r="AK209" s="2"/>
      <c r="AL209" s="2"/>
      <c r="AM209" s="2"/>
      <c r="AN209" s="2"/>
      <c r="AO209" s="2"/>
    </row>
    <row r="210" spans="1:41" ht="13.5">
      <c r="A210" s="11">
        <v>112</v>
      </c>
      <c r="B210" s="12" t="s">
        <v>308</v>
      </c>
      <c r="C210" s="11" t="s">
        <v>160</v>
      </c>
      <c r="D210" s="11" t="s">
        <v>242</v>
      </c>
      <c r="E210" s="11" t="s">
        <v>243</v>
      </c>
      <c r="F210" s="11" t="s">
        <v>317</v>
      </c>
      <c r="G210" s="19">
        <v>4900</v>
      </c>
      <c r="H210" s="25" t="s">
        <v>318</v>
      </c>
      <c r="I210" s="11" t="s">
        <v>41</v>
      </c>
      <c r="J210" s="12" t="s">
        <v>164</v>
      </c>
      <c r="K210" s="15">
        <v>3</v>
      </c>
      <c r="L210" s="15"/>
      <c r="M210" s="15" t="e">
        <f>#REF!=L210</f>
        <v>#REF!</v>
      </c>
      <c r="N210" s="15"/>
      <c r="O210" s="15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>
        <v>2</v>
      </c>
      <c r="AI210" s="17">
        <f>SUM(K210, N210:AB210) - AH210</f>
        <v>1</v>
      </c>
      <c r="AJ210" s="2"/>
      <c r="AK210" s="2"/>
      <c r="AL210" s="2"/>
      <c r="AM210" s="2"/>
      <c r="AN210" s="2"/>
      <c r="AO210" s="2"/>
    </row>
    <row r="211" spans="1:41" ht="13.5">
      <c r="A211" s="11">
        <v>113</v>
      </c>
      <c r="B211" s="12" t="s">
        <v>308</v>
      </c>
      <c r="C211" s="11" t="s">
        <v>160</v>
      </c>
      <c r="D211" s="11" t="s">
        <v>242</v>
      </c>
      <c r="E211" s="11" t="s">
        <v>243</v>
      </c>
      <c r="F211" s="11" t="s">
        <v>319</v>
      </c>
      <c r="G211" s="19">
        <v>4900</v>
      </c>
      <c r="H211" s="25" t="s">
        <v>320</v>
      </c>
      <c r="I211" s="11" t="s">
        <v>41</v>
      </c>
      <c r="J211" s="12" t="s">
        <v>164</v>
      </c>
      <c r="K211" s="15">
        <v>3</v>
      </c>
      <c r="L211" s="15"/>
      <c r="M211" s="15" t="e">
        <f>#REF!=L211</f>
        <v>#REF!</v>
      </c>
      <c r="N211" s="15"/>
      <c r="O211" s="15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>
        <v>1</v>
      </c>
      <c r="AI211" s="17">
        <f>SUM(K211, N211:AB211) - AH211</f>
        <v>2</v>
      </c>
      <c r="AJ211" s="2"/>
      <c r="AK211" s="2"/>
      <c r="AL211" s="2"/>
      <c r="AM211" s="2"/>
      <c r="AN211" s="2"/>
      <c r="AO211" s="2"/>
    </row>
    <row r="212" spans="1:41" ht="13.5">
      <c r="A212" s="11">
        <v>114</v>
      </c>
      <c r="B212" s="12" t="s">
        <v>308</v>
      </c>
      <c r="C212" s="11" t="s">
        <v>160</v>
      </c>
      <c r="D212" s="11" t="s">
        <v>242</v>
      </c>
      <c r="E212" s="11" t="s">
        <v>243</v>
      </c>
      <c r="F212" s="11" t="s">
        <v>321</v>
      </c>
      <c r="G212" s="19">
        <v>4900</v>
      </c>
      <c r="H212" s="25" t="s">
        <v>322</v>
      </c>
      <c r="I212" s="11" t="s">
        <v>41</v>
      </c>
      <c r="J212" s="12" t="s">
        <v>164</v>
      </c>
      <c r="K212" s="15">
        <v>3</v>
      </c>
      <c r="L212" s="15"/>
      <c r="M212" s="15" t="e">
        <f>#REF!=L212</f>
        <v>#REF!</v>
      </c>
      <c r="N212" s="15"/>
      <c r="O212" s="15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>
        <v>3</v>
      </c>
      <c r="AI212" s="17">
        <f>SUM(K212, N212:AB212) - AH212</f>
        <v>0</v>
      </c>
      <c r="AJ212" s="2"/>
      <c r="AK212" s="2"/>
      <c r="AL212" s="2"/>
      <c r="AM212" s="2"/>
      <c r="AN212" s="2"/>
      <c r="AO212" s="2"/>
    </row>
    <row r="213" spans="1:41" ht="13.5">
      <c r="A213" s="11">
        <v>144</v>
      </c>
      <c r="B213" s="12" t="s">
        <v>390</v>
      </c>
      <c r="C213" s="11" t="s">
        <v>160</v>
      </c>
      <c r="D213" s="11" t="s">
        <v>106</v>
      </c>
      <c r="E213" s="11" t="s">
        <v>192</v>
      </c>
      <c r="F213" s="13" t="s">
        <v>393</v>
      </c>
      <c r="G213" s="19">
        <v>15000</v>
      </c>
      <c r="H213" s="25" t="s">
        <v>394</v>
      </c>
      <c r="I213" s="11" t="s">
        <v>41</v>
      </c>
      <c r="J213" s="12" t="s">
        <v>164</v>
      </c>
      <c r="K213" s="15">
        <v>2</v>
      </c>
      <c r="L213" s="15">
        <v>2</v>
      </c>
      <c r="M213" s="15" t="e">
        <f>#REF!=L213</f>
        <v>#REF!</v>
      </c>
      <c r="N213" s="15"/>
      <c r="O213" s="15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>
        <v>5</v>
      </c>
      <c r="AD213" s="16"/>
      <c r="AE213" s="16"/>
      <c r="AF213" s="16"/>
      <c r="AG213" s="16"/>
      <c r="AH213" s="16">
        <v>3</v>
      </c>
      <c r="AI213" s="17">
        <f>SUM(K213, N213:AB213) - AH213</f>
        <v>-1</v>
      </c>
      <c r="AJ213" s="2"/>
      <c r="AK213" s="2"/>
      <c r="AL213" s="2"/>
      <c r="AM213" s="2"/>
      <c r="AN213" s="2"/>
      <c r="AO213" s="2"/>
    </row>
    <row r="214" spans="1:41" ht="13.5">
      <c r="A214" s="11">
        <v>145</v>
      </c>
      <c r="B214" s="12" t="s">
        <v>390</v>
      </c>
      <c r="C214" s="11" t="s">
        <v>160</v>
      </c>
      <c r="D214" s="11" t="s">
        <v>106</v>
      </c>
      <c r="E214" s="11" t="s">
        <v>192</v>
      </c>
      <c r="F214" s="13" t="s">
        <v>395</v>
      </c>
      <c r="G214" s="19">
        <v>2500</v>
      </c>
      <c r="H214" s="25" t="s">
        <v>396</v>
      </c>
      <c r="I214" s="11" t="s">
        <v>41</v>
      </c>
      <c r="J214" s="12" t="s">
        <v>164</v>
      </c>
      <c r="K214" s="15">
        <v>5</v>
      </c>
      <c r="L214" s="15">
        <v>5</v>
      </c>
      <c r="M214" s="15" t="e">
        <f>#REF!=L214</f>
        <v>#REF!</v>
      </c>
      <c r="N214" s="15"/>
      <c r="O214" s="15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>
        <v>15</v>
      </c>
      <c r="AD214" s="16"/>
      <c r="AE214" s="16"/>
      <c r="AF214" s="16"/>
      <c r="AG214" s="16"/>
      <c r="AH214" s="16">
        <v>7</v>
      </c>
      <c r="AI214" s="17">
        <f>SUM(K214, N214:AB214) - AH214</f>
        <v>-2</v>
      </c>
      <c r="AJ214" s="2"/>
      <c r="AK214" s="2"/>
      <c r="AL214" s="2"/>
      <c r="AM214" s="2"/>
      <c r="AN214" s="2"/>
      <c r="AO214" s="2"/>
    </row>
    <row r="215" spans="1:41" ht="13.5">
      <c r="A215" s="11">
        <v>143</v>
      </c>
      <c r="B215" s="12" t="s">
        <v>390</v>
      </c>
      <c r="C215" s="11" t="s">
        <v>160</v>
      </c>
      <c r="D215" s="11" t="s">
        <v>106</v>
      </c>
      <c r="E215" s="11" t="s">
        <v>192</v>
      </c>
      <c r="F215" s="13" t="s">
        <v>391</v>
      </c>
      <c r="G215" s="19">
        <v>2500</v>
      </c>
      <c r="H215" s="25" t="s">
        <v>392</v>
      </c>
      <c r="I215" s="11" t="s">
        <v>41</v>
      </c>
      <c r="J215" s="12" t="s">
        <v>164</v>
      </c>
      <c r="K215" s="15">
        <v>5</v>
      </c>
      <c r="L215" s="15">
        <v>5</v>
      </c>
      <c r="M215" s="15" t="e">
        <f>#REF!=L215</f>
        <v>#REF!</v>
      </c>
      <c r="N215" s="15"/>
      <c r="O215" s="15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>
        <v>15</v>
      </c>
      <c r="AD215" s="16"/>
      <c r="AE215" s="16"/>
      <c r="AF215" s="16"/>
      <c r="AG215" s="16"/>
      <c r="AH215" s="16">
        <v>7</v>
      </c>
      <c r="AI215" s="17">
        <f>SUM(K215, N215:AB215) - AH215</f>
        <v>-2</v>
      </c>
      <c r="AJ215" s="2"/>
      <c r="AK215" s="2"/>
      <c r="AL215" s="2"/>
      <c r="AM215" s="2"/>
      <c r="AN215" s="2"/>
      <c r="AO215" s="2"/>
    </row>
    <row r="216" spans="1:41" ht="13.5">
      <c r="A216" s="11">
        <v>123</v>
      </c>
      <c r="B216" s="12" t="s">
        <v>308</v>
      </c>
      <c r="C216" s="11" t="s">
        <v>160</v>
      </c>
      <c r="D216" s="11" t="s">
        <v>99</v>
      </c>
      <c r="E216" s="11" t="s">
        <v>224</v>
      </c>
      <c r="F216" s="11" t="s">
        <v>340</v>
      </c>
      <c r="G216" s="14">
        <v>13900</v>
      </c>
      <c r="H216" s="25" t="s">
        <v>341</v>
      </c>
      <c r="I216" s="11" t="s">
        <v>41</v>
      </c>
      <c r="J216" s="12" t="s">
        <v>164</v>
      </c>
      <c r="K216" s="15">
        <v>10</v>
      </c>
      <c r="L216" s="15">
        <v>10</v>
      </c>
      <c r="M216" s="15" t="e">
        <f>#REF!=L216</f>
        <v>#REF!</v>
      </c>
      <c r="N216" s="15"/>
      <c r="O216" s="15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>
        <v>1</v>
      </c>
      <c r="AI216" s="17">
        <f>SUM(K216, N216:AB216) - AH216</f>
        <v>9</v>
      </c>
      <c r="AJ216" s="2"/>
      <c r="AK216" s="2"/>
      <c r="AL216" s="2"/>
      <c r="AM216" s="2"/>
      <c r="AN216" s="2"/>
      <c r="AO216" s="2"/>
    </row>
    <row r="217" spans="1:41" ht="13.5">
      <c r="A217" s="11">
        <v>124</v>
      </c>
      <c r="B217" s="12" t="s">
        <v>308</v>
      </c>
      <c r="C217" s="11" t="s">
        <v>160</v>
      </c>
      <c r="D217" s="11" t="s">
        <v>99</v>
      </c>
      <c r="E217" s="11" t="s">
        <v>224</v>
      </c>
      <c r="F217" s="11" t="s">
        <v>342</v>
      </c>
      <c r="G217" s="14">
        <v>13900</v>
      </c>
      <c r="H217" s="25" t="s">
        <v>343</v>
      </c>
      <c r="I217" s="11" t="s">
        <v>41</v>
      </c>
      <c r="J217" s="12" t="s">
        <v>164</v>
      </c>
      <c r="K217" s="15">
        <v>10</v>
      </c>
      <c r="L217" s="15">
        <v>10</v>
      </c>
      <c r="M217" s="15" t="e">
        <f>#REF!=L217</f>
        <v>#REF!</v>
      </c>
      <c r="N217" s="15"/>
      <c r="O217" s="15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>
        <v>1</v>
      </c>
      <c r="AI217" s="17">
        <f>SUM(K217, N217:AB217) - AH217</f>
        <v>9</v>
      </c>
      <c r="AJ217" s="2"/>
      <c r="AK217" s="2"/>
      <c r="AL217" s="2"/>
      <c r="AM217" s="2"/>
      <c r="AN217" s="2"/>
      <c r="AO217" s="2"/>
    </row>
    <row r="218" spans="1:41" ht="13.5">
      <c r="A218" s="11">
        <v>103</v>
      </c>
      <c r="B218" s="12" t="s">
        <v>289</v>
      </c>
      <c r="C218" s="11" t="s">
        <v>160</v>
      </c>
      <c r="D218" s="11" t="s">
        <v>246</v>
      </c>
      <c r="E218" s="11" t="s">
        <v>292</v>
      </c>
      <c r="F218" s="13" t="s">
        <v>293</v>
      </c>
      <c r="G218" s="19">
        <v>3500</v>
      </c>
      <c r="H218" s="25" t="s">
        <v>294</v>
      </c>
      <c r="I218" s="11" t="s">
        <v>41</v>
      </c>
      <c r="J218" s="11" t="s">
        <v>42</v>
      </c>
      <c r="K218" s="15">
        <v>20</v>
      </c>
      <c r="L218" s="15">
        <v>20</v>
      </c>
      <c r="M218" s="15" t="e">
        <f>#REF!=L218</f>
        <v>#REF!</v>
      </c>
      <c r="N218" s="15"/>
      <c r="O218" s="15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>
        <v>11</v>
      </c>
      <c r="AI218" s="17">
        <f>SUM(K218, N218:AB218) - AH218</f>
        <v>9</v>
      </c>
      <c r="AJ218" s="2"/>
      <c r="AK218" s="2"/>
      <c r="AL218" s="2"/>
      <c r="AM218" s="2"/>
      <c r="AN218" s="2"/>
      <c r="AO218" s="2"/>
    </row>
    <row r="219" spans="1:41" ht="13.5">
      <c r="A219" s="11">
        <v>102</v>
      </c>
      <c r="B219" s="12" t="s">
        <v>289</v>
      </c>
      <c r="C219" s="11" t="s">
        <v>160</v>
      </c>
      <c r="D219" s="11" t="s">
        <v>229</v>
      </c>
      <c r="E219" s="11" t="s">
        <v>230</v>
      </c>
      <c r="F219" s="13" t="s">
        <v>290</v>
      </c>
      <c r="G219" s="19">
        <v>12000</v>
      </c>
      <c r="H219" s="25" t="s">
        <v>291</v>
      </c>
      <c r="I219" s="11" t="s">
        <v>41</v>
      </c>
      <c r="J219" s="11" t="s">
        <v>42</v>
      </c>
      <c r="K219" s="15">
        <v>10</v>
      </c>
      <c r="L219" s="15">
        <v>10</v>
      </c>
      <c r="M219" s="15" t="e">
        <f>#REF!=L219</f>
        <v>#REF!</v>
      </c>
      <c r="N219" s="15"/>
      <c r="O219" s="15"/>
      <c r="P219" s="16"/>
      <c r="Q219" s="16"/>
      <c r="R219" s="16"/>
      <c r="S219" s="16"/>
      <c r="T219" s="16"/>
      <c r="U219" s="16"/>
      <c r="V219" s="16"/>
      <c r="W219" s="16">
        <v>10</v>
      </c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>
        <v>9</v>
      </c>
      <c r="AI219" s="17">
        <f>SUM(K219, N219:AB219) - AH219</f>
        <v>11</v>
      </c>
      <c r="AJ219" s="2"/>
      <c r="AK219" s="2"/>
      <c r="AL219" s="2"/>
      <c r="AM219" s="2"/>
      <c r="AN219" s="2"/>
      <c r="AO219" s="2"/>
    </row>
    <row r="220" spans="1:41" ht="13.5">
      <c r="A220" s="11">
        <v>106</v>
      </c>
      <c r="B220" s="12" t="s">
        <v>289</v>
      </c>
      <c r="C220" s="11" t="s">
        <v>160</v>
      </c>
      <c r="D220" s="11" t="s">
        <v>246</v>
      </c>
      <c r="E220" s="11" t="s">
        <v>300</v>
      </c>
      <c r="F220" s="11" t="s">
        <v>301</v>
      </c>
      <c r="G220" s="13">
        <v>2500</v>
      </c>
      <c r="H220" s="25" t="s">
        <v>302</v>
      </c>
      <c r="I220" s="11" t="s">
        <v>41</v>
      </c>
      <c r="J220" s="11" t="s">
        <v>42</v>
      </c>
      <c r="K220" s="15">
        <v>20</v>
      </c>
      <c r="L220" s="15">
        <v>20</v>
      </c>
      <c r="M220" s="15" t="e">
        <f>#REF!=L220</f>
        <v>#REF!</v>
      </c>
      <c r="N220" s="15"/>
      <c r="O220" s="15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>
        <v>17</v>
      </c>
      <c r="AI220" s="17">
        <f>SUM(K220, N220:AB220) - AH220</f>
        <v>3</v>
      </c>
      <c r="AJ220" s="2"/>
      <c r="AK220" s="2"/>
      <c r="AL220" s="2"/>
      <c r="AM220" s="2"/>
      <c r="AN220" s="2"/>
      <c r="AO220" s="2"/>
    </row>
    <row r="221" spans="1:41" ht="13.5">
      <c r="A221" s="11">
        <v>107</v>
      </c>
      <c r="B221" s="12" t="s">
        <v>289</v>
      </c>
      <c r="C221" s="11" t="s">
        <v>160</v>
      </c>
      <c r="D221" s="11" t="s">
        <v>246</v>
      </c>
      <c r="E221" s="11" t="s">
        <v>303</v>
      </c>
      <c r="F221" s="18" t="s">
        <v>304</v>
      </c>
      <c r="G221" s="19">
        <v>15000</v>
      </c>
      <c r="H221" s="25" t="s">
        <v>305</v>
      </c>
      <c r="I221" s="11" t="s">
        <v>41</v>
      </c>
      <c r="J221" s="11" t="s">
        <v>42</v>
      </c>
      <c r="K221" s="15">
        <v>18</v>
      </c>
      <c r="L221" s="15">
        <v>20</v>
      </c>
      <c r="M221" s="15" t="e">
        <f>#REF!=L221</f>
        <v>#REF!</v>
      </c>
      <c r="N221" s="15"/>
      <c r="O221" s="15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>
        <v>4</v>
      </c>
      <c r="AI221" s="17">
        <f>SUM(K221, N221:AB221) - AH221</f>
        <v>14</v>
      </c>
      <c r="AJ221" s="2"/>
      <c r="AK221" s="2"/>
      <c r="AL221" s="2"/>
      <c r="AM221" s="2"/>
      <c r="AN221" s="2"/>
      <c r="AO221" s="2"/>
    </row>
    <row r="222" spans="1:41" ht="13.5">
      <c r="A222" s="11">
        <v>260</v>
      </c>
      <c r="B222" s="30" t="s">
        <v>633</v>
      </c>
      <c r="C222" s="11" t="s">
        <v>634</v>
      </c>
      <c r="D222" s="19" t="s">
        <v>224</v>
      </c>
      <c r="E222" s="19" t="s">
        <v>224</v>
      </c>
      <c r="F222" s="11" t="s">
        <v>659</v>
      </c>
      <c r="G222" s="19">
        <v>5000</v>
      </c>
      <c r="H222" s="25" t="s">
        <v>660</v>
      </c>
      <c r="I222" s="11" t="s">
        <v>41</v>
      </c>
      <c r="J222" s="12"/>
      <c r="K222" s="15">
        <v>160</v>
      </c>
      <c r="L222" s="15"/>
      <c r="M222" s="15" t="e">
        <f>#REF!=L222</f>
        <v>#REF!</v>
      </c>
      <c r="N222" s="15"/>
      <c r="O222" s="15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>
        <v>6</v>
      </c>
      <c r="AI222" s="17">
        <f>SUM(K222, N222:AB222) - AH222</f>
        <v>154</v>
      </c>
      <c r="AJ222" s="2"/>
      <c r="AK222" s="2"/>
      <c r="AL222" s="2"/>
      <c r="AM222" s="2"/>
      <c r="AN222" s="2"/>
      <c r="AO222" s="2"/>
    </row>
    <row r="223" spans="1:41" ht="13.5">
      <c r="A223" s="11">
        <v>191</v>
      </c>
      <c r="B223" s="12" t="s">
        <v>502</v>
      </c>
      <c r="C223" s="11" t="s">
        <v>160</v>
      </c>
      <c r="D223" s="11" t="s">
        <v>99</v>
      </c>
      <c r="E223" s="11" t="s">
        <v>100</v>
      </c>
      <c r="F223" s="13" t="s">
        <v>503</v>
      </c>
      <c r="G223" s="19">
        <v>6900</v>
      </c>
      <c r="H223" s="25" t="s">
        <v>504</v>
      </c>
      <c r="I223" s="11" t="s">
        <v>41</v>
      </c>
      <c r="J223" s="12" t="s">
        <v>164</v>
      </c>
      <c r="K223" s="15">
        <v>20</v>
      </c>
      <c r="L223" s="15">
        <v>20</v>
      </c>
      <c r="M223" s="15" t="e">
        <f>#REF!=L223</f>
        <v>#REF!</v>
      </c>
      <c r="N223" s="15"/>
      <c r="O223" s="15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7">
        <f>SUM(K223, N223:AB223) - AH223</f>
        <v>20</v>
      </c>
      <c r="AJ223" s="2"/>
      <c r="AK223" s="2"/>
      <c r="AL223" s="2"/>
      <c r="AM223" s="2"/>
      <c r="AN223" s="2"/>
      <c r="AO223" s="2"/>
    </row>
    <row r="224" spans="1:41" ht="13.5">
      <c r="A224" s="11">
        <v>225</v>
      </c>
      <c r="B224" s="12" t="s">
        <v>573</v>
      </c>
      <c r="C224" s="11" t="s">
        <v>574</v>
      </c>
      <c r="D224" s="11" t="s">
        <v>575</v>
      </c>
      <c r="E224" s="11" t="s">
        <v>575</v>
      </c>
      <c r="F224" s="11" t="s">
        <v>578</v>
      </c>
      <c r="G224" s="19">
        <v>22000</v>
      </c>
      <c r="H224" s="25" t="s">
        <v>579</v>
      </c>
      <c r="I224" s="11" t="s">
        <v>41</v>
      </c>
      <c r="J224" s="11" t="s">
        <v>42</v>
      </c>
      <c r="K224" s="15">
        <v>5</v>
      </c>
      <c r="L224" s="15">
        <v>5</v>
      </c>
      <c r="M224" s="15" t="e">
        <f>#REF!=L224</f>
        <v>#REF!</v>
      </c>
      <c r="N224" s="15"/>
      <c r="O224" s="15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7">
        <f>SUM(K224, N224:AB224) - AH224</f>
        <v>5</v>
      </c>
      <c r="AJ224" s="2"/>
      <c r="AK224" s="2"/>
      <c r="AL224" s="2"/>
      <c r="AM224" s="2"/>
      <c r="AN224" s="2"/>
      <c r="AO224" s="2"/>
    </row>
    <row r="225" spans="1:41" ht="13.5">
      <c r="A225" s="11">
        <v>224</v>
      </c>
      <c r="B225" s="12" t="s">
        <v>573</v>
      </c>
      <c r="C225" s="11" t="s">
        <v>574</v>
      </c>
      <c r="D225" s="11" t="s">
        <v>575</v>
      </c>
      <c r="E225" s="11" t="s">
        <v>575</v>
      </c>
      <c r="F225" s="11" t="s">
        <v>576</v>
      </c>
      <c r="G225" s="19">
        <v>22000</v>
      </c>
      <c r="H225" s="25" t="s">
        <v>577</v>
      </c>
      <c r="I225" s="11" t="s">
        <v>41</v>
      </c>
      <c r="J225" s="11" t="s">
        <v>42</v>
      </c>
      <c r="K225" s="15">
        <v>5</v>
      </c>
      <c r="L225" s="15">
        <v>5</v>
      </c>
      <c r="M225" s="15" t="e">
        <f>#REF!=L225</f>
        <v>#REF!</v>
      </c>
      <c r="N225" s="15"/>
      <c r="O225" s="15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7">
        <f>SUM(K225, N225:AB225) - AH225</f>
        <v>5</v>
      </c>
      <c r="AJ225" s="2"/>
      <c r="AK225" s="2"/>
      <c r="AL225" s="2"/>
      <c r="AM225" s="2"/>
      <c r="AN225" s="2"/>
      <c r="AO225" s="2"/>
    </row>
    <row r="226" spans="1:41" ht="13.5">
      <c r="A226" s="11">
        <v>35</v>
      </c>
      <c r="B226" s="12" t="s">
        <v>120</v>
      </c>
      <c r="C226" s="11" t="s">
        <v>37</v>
      </c>
      <c r="D226" s="11" t="s">
        <v>106</v>
      </c>
      <c r="E226" s="11" t="s">
        <v>121</v>
      </c>
      <c r="F226" s="11" t="s">
        <v>122</v>
      </c>
      <c r="G226" s="14">
        <v>11000</v>
      </c>
      <c r="H226" s="25" t="s">
        <v>123</v>
      </c>
      <c r="I226" s="11" t="s">
        <v>41</v>
      </c>
      <c r="J226" s="11" t="s">
        <v>42</v>
      </c>
      <c r="K226" s="15">
        <v>30</v>
      </c>
      <c r="L226" s="15"/>
      <c r="M226" s="15" t="e">
        <f>#REF!=L226</f>
        <v>#REF!</v>
      </c>
      <c r="N226" s="15"/>
      <c r="O226" s="15"/>
      <c r="P226" s="16">
        <v>10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>
        <v>40</v>
      </c>
      <c r="AA226" s="16"/>
      <c r="AB226" s="16"/>
      <c r="AC226" s="16"/>
      <c r="AD226" s="16"/>
      <c r="AE226" s="16"/>
      <c r="AF226" s="16"/>
      <c r="AG226" s="16"/>
      <c r="AH226" s="16">
        <v>42</v>
      </c>
      <c r="AI226" s="17">
        <f>SUM(K226, N226:AB226) - AH226</f>
        <v>38</v>
      </c>
      <c r="AJ226" s="2"/>
      <c r="AK226" s="2"/>
      <c r="AL226" s="2"/>
      <c r="AM226" s="2"/>
      <c r="AN226" s="2"/>
      <c r="AO226" s="2"/>
    </row>
    <row r="227" spans="1:41" ht="13.5">
      <c r="A227" s="11">
        <v>37</v>
      </c>
      <c r="B227" s="12" t="s">
        <v>120</v>
      </c>
      <c r="C227" s="11" t="s">
        <v>37</v>
      </c>
      <c r="D227" s="11" t="s">
        <v>106</v>
      </c>
      <c r="E227" s="11" t="s">
        <v>121</v>
      </c>
      <c r="F227" s="11" t="s">
        <v>127</v>
      </c>
      <c r="G227" s="14">
        <v>41500</v>
      </c>
      <c r="H227" s="25" t="s">
        <v>128</v>
      </c>
      <c r="I227" s="11" t="s">
        <v>129</v>
      </c>
      <c r="J227" s="11" t="s">
        <v>42</v>
      </c>
      <c r="K227" s="15">
        <v>2</v>
      </c>
      <c r="L227" s="15"/>
      <c r="M227" s="15" t="e">
        <f>#REF!=L227</f>
        <v>#REF!</v>
      </c>
      <c r="N227" s="15"/>
      <c r="O227" s="15"/>
      <c r="P227" s="16">
        <v>3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>
        <v>15</v>
      </c>
      <c r="AA227" s="16"/>
      <c r="AB227" s="16"/>
      <c r="AC227" s="16"/>
      <c r="AD227" s="16"/>
      <c r="AE227" s="16"/>
      <c r="AF227" s="16"/>
      <c r="AG227" s="16"/>
      <c r="AH227" s="16">
        <v>5</v>
      </c>
      <c r="AI227" s="17">
        <f>SUM(K227, N227:AB227) - AH227</f>
        <v>15</v>
      </c>
      <c r="AJ227" s="2"/>
      <c r="AK227" s="2"/>
      <c r="AL227" s="2"/>
      <c r="AM227" s="2"/>
      <c r="AN227" s="2"/>
      <c r="AO227" s="2"/>
    </row>
    <row r="228" spans="1:41" ht="13.5">
      <c r="A228" s="11">
        <v>36</v>
      </c>
      <c r="B228" s="12" t="s">
        <v>120</v>
      </c>
      <c r="C228" s="11" t="s">
        <v>37</v>
      </c>
      <c r="D228" s="11" t="s">
        <v>95</v>
      </c>
      <c r="E228" s="11" t="s">
        <v>124</v>
      </c>
      <c r="F228" s="11" t="s">
        <v>125</v>
      </c>
      <c r="G228" s="14">
        <v>20000</v>
      </c>
      <c r="H228" s="25" t="s">
        <v>126</v>
      </c>
      <c r="I228" s="11" t="s">
        <v>41</v>
      </c>
      <c r="J228" s="11" t="s">
        <v>42</v>
      </c>
      <c r="K228" s="15">
        <v>5</v>
      </c>
      <c r="L228" s="15"/>
      <c r="M228" s="15" t="e">
        <f>#REF!=L228</f>
        <v>#REF!</v>
      </c>
      <c r="N228" s="15"/>
      <c r="O228" s="15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7">
        <f>SUM(K228, N228:AB228) - AH228</f>
        <v>5</v>
      </c>
      <c r="AJ228" s="2"/>
      <c r="AK228" s="2"/>
      <c r="AL228" s="2"/>
      <c r="AM228" s="2"/>
      <c r="AN228" s="2"/>
      <c r="AO228" s="2"/>
    </row>
    <row r="229" spans="1:41" ht="13.5">
      <c r="A229" s="11">
        <v>38</v>
      </c>
      <c r="B229" s="12" t="s">
        <v>120</v>
      </c>
      <c r="C229" s="11" t="s">
        <v>37</v>
      </c>
      <c r="D229" s="11" t="s">
        <v>106</v>
      </c>
      <c r="E229" s="11" t="s">
        <v>121</v>
      </c>
      <c r="F229" s="11" t="s">
        <v>130</v>
      </c>
      <c r="G229" s="14">
        <v>28800</v>
      </c>
      <c r="H229" s="25" t="s">
        <v>131</v>
      </c>
      <c r="I229" s="11" t="s">
        <v>41</v>
      </c>
      <c r="J229" s="11" t="s">
        <v>42</v>
      </c>
      <c r="K229" s="15">
        <v>5</v>
      </c>
      <c r="L229" s="15"/>
      <c r="M229" s="15" t="e">
        <f>#REF!=L229</f>
        <v>#REF!</v>
      </c>
      <c r="N229" s="15"/>
      <c r="O229" s="15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>
        <v>2</v>
      </c>
      <c r="AI229" s="17">
        <f>SUM(K229, N229:AB229) - AH229</f>
        <v>3</v>
      </c>
      <c r="AJ229" s="2"/>
      <c r="AK229" s="2"/>
      <c r="AL229" s="2"/>
      <c r="AM229" s="2"/>
      <c r="AN229" s="2"/>
      <c r="AO229" s="2"/>
    </row>
    <row r="230" spans="1:41" ht="13.5">
      <c r="A230" s="11">
        <v>116</v>
      </c>
      <c r="B230" s="12" t="s">
        <v>308</v>
      </c>
      <c r="C230" s="11" t="s">
        <v>160</v>
      </c>
      <c r="D230" s="11" t="s">
        <v>246</v>
      </c>
      <c r="E230" s="11" t="s">
        <v>300</v>
      </c>
      <c r="F230" s="11" t="s">
        <v>325</v>
      </c>
      <c r="G230" s="14">
        <v>2500</v>
      </c>
      <c r="H230" s="25" t="s">
        <v>326</v>
      </c>
      <c r="I230" s="11" t="s">
        <v>41</v>
      </c>
      <c r="J230" s="12" t="s">
        <v>164</v>
      </c>
      <c r="K230" s="15">
        <v>10</v>
      </c>
      <c r="L230" s="15">
        <v>10</v>
      </c>
      <c r="M230" s="15" t="e">
        <f>#REF!=L230</f>
        <v>#REF!</v>
      </c>
      <c r="N230" s="15"/>
      <c r="O230" s="15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>
        <v>2</v>
      </c>
      <c r="AI230" s="17">
        <f>SUM(K230, N230:AB230) - AH230</f>
        <v>8</v>
      </c>
      <c r="AJ230" s="2"/>
      <c r="AK230" s="2"/>
      <c r="AL230" s="2"/>
      <c r="AM230" s="2"/>
      <c r="AN230" s="2"/>
      <c r="AO230" s="2"/>
    </row>
    <row r="231" spans="1:41" ht="13.5">
      <c r="A231" s="11">
        <v>108</v>
      </c>
      <c r="B231" s="12" t="s">
        <v>308</v>
      </c>
      <c r="C231" s="11" t="s">
        <v>160</v>
      </c>
      <c r="D231" s="11" t="s">
        <v>242</v>
      </c>
      <c r="E231" s="11" t="s">
        <v>243</v>
      </c>
      <c r="F231" s="11" t="s">
        <v>309</v>
      </c>
      <c r="G231" s="19">
        <v>4900</v>
      </c>
      <c r="H231" s="25" t="s">
        <v>310</v>
      </c>
      <c r="I231" s="11" t="s">
        <v>41</v>
      </c>
      <c r="J231" s="12" t="s">
        <v>164</v>
      </c>
      <c r="K231" s="15">
        <v>3</v>
      </c>
      <c r="L231" s="15">
        <v>20</v>
      </c>
      <c r="M231" s="15" t="e">
        <f>#REF!=L231</f>
        <v>#REF!</v>
      </c>
      <c r="N231" s="15"/>
      <c r="O231" s="15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>
        <v>1</v>
      </c>
      <c r="AI231" s="17">
        <f>SUM(K231, N231:AB231) - AH231</f>
        <v>2</v>
      </c>
      <c r="AJ231" s="2"/>
      <c r="AK231" s="2"/>
      <c r="AL231" s="2"/>
      <c r="AM231" s="2"/>
      <c r="AN231" s="2"/>
      <c r="AO231" s="2"/>
    </row>
    <row r="232" spans="1:41" ht="13.5">
      <c r="A232" s="11">
        <v>118</v>
      </c>
      <c r="B232" s="12" t="s">
        <v>308</v>
      </c>
      <c r="C232" s="11" t="s">
        <v>160</v>
      </c>
      <c r="D232" s="11" t="s">
        <v>246</v>
      </c>
      <c r="E232" s="11" t="s">
        <v>300</v>
      </c>
      <c r="F232" s="11" t="s">
        <v>329</v>
      </c>
      <c r="G232" s="14">
        <v>2500</v>
      </c>
      <c r="H232" s="25" t="s">
        <v>330</v>
      </c>
      <c r="I232" s="11" t="s">
        <v>41</v>
      </c>
      <c r="J232" s="12" t="s">
        <v>164</v>
      </c>
      <c r="K232" s="15">
        <v>10</v>
      </c>
      <c r="L232" s="15">
        <v>10</v>
      </c>
      <c r="M232" s="15" t="e">
        <f>#REF!=L232</f>
        <v>#REF!</v>
      </c>
      <c r="N232" s="15"/>
      <c r="O232" s="15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7">
        <f>SUM(K232, N232:AB232) - AH232</f>
        <v>10</v>
      </c>
      <c r="AJ232" s="2"/>
      <c r="AK232" s="2"/>
      <c r="AL232" s="2"/>
      <c r="AM232" s="2"/>
      <c r="AN232" s="2"/>
      <c r="AO232" s="2"/>
    </row>
    <row r="233" spans="1:41" ht="13.5">
      <c r="A233" s="11">
        <v>117</v>
      </c>
      <c r="B233" s="12" t="s">
        <v>308</v>
      </c>
      <c r="C233" s="11" t="s">
        <v>160</v>
      </c>
      <c r="D233" s="11" t="s">
        <v>246</v>
      </c>
      <c r="E233" s="11" t="s">
        <v>300</v>
      </c>
      <c r="F233" s="11" t="s">
        <v>327</v>
      </c>
      <c r="G233" s="14">
        <v>2500</v>
      </c>
      <c r="H233" s="25" t="s">
        <v>328</v>
      </c>
      <c r="I233" s="11" t="s">
        <v>41</v>
      </c>
      <c r="J233" s="12" t="s">
        <v>164</v>
      </c>
      <c r="K233" s="15">
        <v>10</v>
      </c>
      <c r="L233" s="15">
        <v>10</v>
      </c>
      <c r="M233" s="15" t="e">
        <f>#REF!=L233</f>
        <v>#REF!</v>
      </c>
      <c r="N233" s="15"/>
      <c r="O233" s="15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>
        <v>3</v>
      </c>
      <c r="AI233" s="17">
        <f>SUM(K233, N233:AB233) - AH233</f>
        <v>7</v>
      </c>
      <c r="AJ233" s="2"/>
      <c r="AK233" s="2"/>
      <c r="AL233" s="2"/>
      <c r="AM233" s="2"/>
      <c r="AN233" s="2"/>
      <c r="AO233" s="2"/>
    </row>
    <row r="234" spans="1:41" ht="13.5">
      <c r="A234" s="11">
        <v>115</v>
      </c>
      <c r="B234" s="12" t="s">
        <v>308</v>
      </c>
      <c r="C234" s="11" t="s">
        <v>160</v>
      </c>
      <c r="D234" s="11" t="s">
        <v>246</v>
      </c>
      <c r="E234" s="11" t="s">
        <v>303</v>
      </c>
      <c r="F234" s="11" t="s">
        <v>323</v>
      </c>
      <c r="G234" s="14">
        <v>1500</v>
      </c>
      <c r="H234" s="25" t="s">
        <v>324</v>
      </c>
      <c r="I234" s="11" t="s">
        <v>41</v>
      </c>
      <c r="J234" s="12" t="s">
        <v>164</v>
      </c>
      <c r="K234" s="15">
        <v>20</v>
      </c>
      <c r="L234" s="15">
        <v>20</v>
      </c>
      <c r="M234" s="15" t="e">
        <f>#REF!=L234</f>
        <v>#REF!</v>
      </c>
      <c r="N234" s="15"/>
      <c r="O234" s="15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>
        <v>8</v>
      </c>
      <c r="AI234" s="17">
        <f>SUM(K234, N234:AB234) - AH234</f>
        <v>12</v>
      </c>
      <c r="AJ234" s="2"/>
      <c r="AK234" s="2"/>
      <c r="AL234" s="2"/>
      <c r="AM234" s="2"/>
      <c r="AN234" s="2"/>
      <c r="AO234" s="2"/>
    </row>
    <row r="235" spans="1:41" ht="13.5">
      <c r="A235" s="11">
        <v>119</v>
      </c>
      <c r="B235" s="12" t="s">
        <v>308</v>
      </c>
      <c r="C235" s="11" t="s">
        <v>160</v>
      </c>
      <c r="D235" s="11" t="s">
        <v>95</v>
      </c>
      <c r="E235" s="11" t="s">
        <v>208</v>
      </c>
      <c r="F235" s="11" t="s">
        <v>331</v>
      </c>
      <c r="G235" s="14">
        <v>4500</v>
      </c>
      <c r="H235" s="25" t="s">
        <v>332</v>
      </c>
      <c r="I235" s="11" t="s">
        <v>41</v>
      </c>
      <c r="J235" s="12" t="s">
        <v>164</v>
      </c>
      <c r="K235" s="15">
        <v>6</v>
      </c>
      <c r="L235" s="15">
        <v>6</v>
      </c>
      <c r="M235" s="15" t="e">
        <f>#REF!=L235</f>
        <v>#REF!</v>
      </c>
      <c r="N235" s="15"/>
      <c r="O235" s="15"/>
      <c r="P235" s="16"/>
      <c r="Q235" s="16"/>
      <c r="R235" s="16"/>
      <c r="S235" s="16">
        <v>30</v>
      </c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>
        <v>10</v>
      </c>
      <c r="AI235" s="17">
        <f>SUM(K235, N235:AB235) - AH235</f>
        <v>26</v>
      </c>
      <c r="AJ235" s="2"/>
      <c r="AK235" s="2"/>
      <c r="AL235" s="2"/>
      <c r="AM235" s="2"/>
      <c r="AN235" s="2"/>
      <c r="AO235" s="2"/>
    </row>
    <row r="236" spans="1:41" ht="13.5">
      <c r="A236" s="11">
        <v>29</v>
      </c>
      <c r="B236" s="12" t="s">
        <v>105</v>
      </c>
      <c r="C236" s="11" t="s">
        <v>37</v>
      </c>
      <c r="D236" s="11" t="s">
        <v>106</v>
      </c>
      <c r="E236" s="11" t="s">
        <v>107</v>
      </c>
      <c r="F236" s="11" t="s">
        <v>108</v>
      </c>
      <c r="G236" s="14">
        <v>5500</v>
      </c>
      <c r="H236" s="25" t="s">
        <v>109</v>
      </c>
      <c r="I236" s="11" t="s">
        <v>41</v>
      </c>
      <c r="J236" s="11" t="s">
        <v>42</v>
      </c>
      <c r="K236" s="15">
        <v>13</v>
      </c>
      <c r="L236" s="15">
        <v>13</v>
      </c>
      <c r="M236" s="15" t="e">
        <f>#REF!=L236</f>
        <v>#REF!</v>
      </c>
      <c r="N236" s="15"/>
      <c r="O236" s="15"/>
      <c r="P236" s="16">
        <v>15</v>
      </c>
      <c r="Q236" s="16"/>
      <c r="R236" s="16"/>
      <c r="S236" s="16"/>
      <c r="T236" s="16">
        <v>15</v>
      </c>
      <c r="U236" s="16"/>
      <c r="V236" s="16"/>
      <c r="W236" s="16"/>
      <c r="X236" s="16"/>
      <c r="Y236" s="16"/>
      <c r="Z236" s="16"/>
      <c r="AA236" s="16">
        <v>35</v>
      </c>
      <c r="AB236" s="16"/>
      <c r="AC236" s="16"/>
      <c r="AD236" s="16"/>
      <c r="AE236" s="16"/>
      <c r="AF236" s="16"/>
      <c r="AG236" s="16"/>
      <c r="AH236" s="16">
        <v>46</v>
      </c>
      <c r="AI236" s="17">
        <f>SUM(K236, N236:AB236) - AH236</f>
        <v>32</v>
      </c>
      <c r="AJ236" s="2"/>
      <c r="AK236" s="2"/>
      <c r="AL236" s="2"/>
      <c r="AM236" s="2"/>
      <c r="AN236" s="2"/>
      <c r="AO236" s="2"/>
    </row>
    <row r="237" spans="1:41" ht="13.5">
      <c r="A237" s="11">
        <v>31</v>
      </c>
      <c r="B237" s="12" t="s">
        <v>105</v>
      </c>
      <c r="C237" s="11" t="s">
        <v>37</v>
      </c>
      <c r="D237" s="11" t="s">
        <v>106</v>
      </c>
      <c r="E237" s="11" t="s">
        <v>107</v>
      </c>
      <c r="F237" s="11" t="s">
        <v>112</v>
      </c>
      <c r="G237" s="14">
        <v>5500</v>
      </c>
      <c r="H237" s="25" t="s">
        <v>113</v>
      </c>
      <c r="I237" s="11" t="s">
        <v>41</v>
      </c>
      <c r="J237" s="11" t="s">
        <v>42</v>
      </c>
      <c r="K237" s="15">
        <v>13</v>
      </c>
      <c r="L237" s="15">
        <v>13</v>
      </c>
      <c r="M237" s="15" t="e">
        <f>#REF!=L237</f>
        <v>#REF!</v>
      </c>
      <c r="N237" s="15"/>
      <c r="O237" s="15"/>
      <c r="P237" s="16">
        <v>10</v>
      </c>
      <c r="Q237" s="16"/>
      <c r="R237" s="16"/>
      <c r="S237" s="16"/>
      <c r="T237" s="36">
        <v>9</v>
      </c>
      <c r="U237" s="16"/>
      <c r="V237" s="16"/>
      <c r="W237" s="16"/>
      <c r="X237" s="16">
        <v>15</v>
      </c>
      <c r="Y237" s="16"/>
      <c r="Z237" s="16"/>
      <c r="AA237" s="16">
        <v>2</v>
      </c>
      <c r="AB237" s="16"/>
      <c r="AC237" s="16"/>
      <c r="AD237" s="16"/>
      <c r="AE237" s="16"/>
      <c r="AF237" s="16"/>
      <c r="AG237" s="16"/>
      <c r="AH237" s="16">
        <v>33</v>
      </c>
      <c r="AI237" s="17">
        <f>SUM(K237, N237:AB237) - AH237</f>
        <v>16</v>
      </c>
      <c r="AJ237" s="2"/>
      <c r="AK237" s="2"/>
      <c r="AL237" s="2"/>
      <c r="AM237" s="2"/>
      <c r="AN237" s="2"/>
      <c r="AO237" s="2"/>
    </row>
    <row r="238" spans="1:41" ht="13.5">
      <c r="A238" s="11">
        <v>33</v>
      </c>
      <c r="B238" s="12" t="s">
        <v>105</v>
      </c>
      <c r="C238" s="11" t="s">
        <v>37</v>
      </c>
      <c r="D238" s="11" t="s">
        <v>106</v>
      </c>
      <c r="E238" s="11" t="s">
        <v>107</v>
      </c>
      <c r="F238" s="11" t="s">
        <v>116</v>
      </c>
      <c r="G238" s="14">
        <v>5500</v>
      </c>
      <c r="H238" s="25" t="s">
        <v>117</v>
      </c>
      <c r="I238" s="11" t="s">
        <v>41</v>
      </c>
      <c r="J238" s="11" t="s">
        <v>42</v>
      </c>
      <c r="K238" s="15">
        <v>13</v>
      </c>
      <c r="L238" s="15">
        <v>13</v>
      </c>
      <c r="M238" s="15" t="e">
        <f>#REF!=L238</f>
        <v>#REF!</v>
      </c>
      <c r="N238" s="15"/>
      <c r="O238" s="15"/>
      <c r="P238" s="16">
        <v>5</v>
      </c>
      <c r="Q238" s="16"/>
      <c r="R238" s="16"/>
      <c r="S238" s="16"/>
      <c r="T238" s="16">
        <v>39</v>
      </c>
      <c r="U238" s="16"/>
      <c r="V238" s="16"/>
      <c r="W238" s="16"/>
      <c r="X238" s="16">
        <v>15</v>
      </c>
      <c r="Y238" s="16"/>
      <c r="Z238" s="16"/>
      <c r="AA238" s="16">
        <v>1</v>
      </c>
      <c r="AB238" s="16"/>
      <c r="AC238" s="16"/>
      <c r="AD238" s="16"/>
      <c r="AE238" s="16"/>
      <c r="AF238" s="16"/>
      <c r="AG238" s="16"/>
      <c r="AH238" s="16">
        <v>51</v>
      </c>
      <c r="AI238" s="17">
        <f>SUM(K238, N238:AB238) - AH238</f>
        <v>22</v>
      </c>
      <c r="AJ238" s="2"/>
      <c r="AK238" s="2"/>
      <c r="AL238" s="2"/>
      <c r="AM238" s="2"/>
      <c r="AN238" s="2"/>
      <c r="AO238" s="2"/>
    </row>
    <row r="239" spans="1:41" ht="13.5">
      <c r="A239" s="11">
        <v>32</v>
      </c>
      <c r="B239" s="12" t="s">
        <v>105</v>
      </c>
      <c r="C239" s="11" t="s">
        <v>37</v>
      </c>
      <c r="D239" s="11" t="s">
        <v>106</v>
      </c>
      <c r="E239" s="11" t="s">
        <v>107</v>
      </c>
      <c r="F239" s="11" t="s">
        <v>114</v>
      </c>
      <c r="G239" s="14">
        <v>5500</v>
      </c>
      <c r="H239" s="25" t="s">
        <v>115</v>
      </c>
      <c r="I239" s="11" t="s">
        <v>41</v>
      </c>
      <c r="J239" s="11" t="s">
        <v>42</v>
      </c>
      <c r="K239" s="15">
        <v>13</v>
      </c>
      <c r="L239" s="15">
        <v>13</v>
      </c>
      <c r="M239" s="15" t="e">
        <f>#REF!=L239</f>
        <v>#REF!</v>
      </c>
      <c r="N239" s="15"/>
      <c r="O239" s="15"/>
      <c r="P239" s="16">
        <v>10</v>
      </c>
      <c r="Q239" s="16"/>
      <c r="R239" s="16"/>
      <c r="S239" s="16"/>
      <c r="T239" s="16">
        <v>10</v>
      </c>
      <c r="U239" s="16"/>
      <c r="V239" s="16"/>
      <c r="W239" s="16"/>
      <c r="X239" s="16"/>
      <c r="Y239" s="16"/>
      <c r="Z239" s="16"/>
      <c r="AA239" s="16">
        <v>30</v>
      </c>
      <c r="AB239" s="16"/>
      <c r="AC239" s="16"/>
      <c r="AD239" s="16"/>
      <c r="AE239" s="16"/>
      <c r="AF239" s="16"/>
      <c r="AG239" s="16"/>
      <c r="AH239" s="16">
        <v>40</v>
      </c>
      <c r="AI239" s="17">
        <f>SUM(K239, N239:AB239) - AH239</f>
        <v>23</v>
      </c>
      <c r="AJ239" s="2"/>
      <c r="AK239" s="2"/>
      <c r="AL239" s="2"/>
      <c r="AM239" s="2"/>
      <c r="AN239" s="2"/>
      <c r="AO239" s="2"/>
    </row>
    <row r="240" spans="1:41" ht="13.5">
      <c r="A240" s="11">
        <v>34</v>
      </c>
      <c r="B240" s="12" t="s">
        <v>105</v>
      </c>
      <c r="C240" s="11" t="s">
        <v>37</v>
      </c>
      <c r="D240" s="11" t="s">
        <v>106</v>
      </c>
      <c r="E240" s="11" t="s">
        <v>107</v>
      </c>
      <c r="F240" s="11" t="s">
        <v>118</v>
      </c>
      <c r="G240" s="14">
        <v>5500</v>
      </c>
      <c r="H240" s="25" t="s">
        <v>119</v>
      </c>
      <c r="I240" s="11" t="s">
        <v>41</v>
      </c>
      <c r="J240" s="11" t="s">
        <v>42</v>
      </c>
      <c r="K240" s="15">
        <v>13</v>
      </c>
      <c r="L240" s="15">
        <v>13</v>
      </c>
      <c r="M240" s="15" t="e">
        <f>#REF!=L240</f>
        <v>#REF!</v>
      </c>
      <c r="N240" s="15"/>
      <c r="O240" s="15"/>
      <c r="P240" s="16">
        <v>10</v>
      </c>
      <c r="Q240" s="16"/>
      <c r="R240" s="16"/>
      <c r="S240" s="16"/>
      <c r="T240" s="16">
        <v>20</v>
      </c>
      <c r="U240" s="16"/>
      <c r="V240" s="16"/>
      <c r="W240" s="16"/>
      <c r="X240" s="16">
        <v>15</v>
      </c>
      <c r="Y240" s="16"/>
      <c r="Z240" s="16"/>
      <c r="AA240" s="16">
        <v>15</v>
      </c>
      <c r="AB240" s="16"/>
      <c r="AC240" s="16"/>
      <c r="AD240" s="16"/>
      <c r="AE240" s="16"/>
      <c r="AF240" s="16"/>
      <c r="AG240" s="16"/>
      <c r="AH240" s="16">
        <v>43</v>
      </c>
      <c r="AI240" s="17">
        <f>SUM(K240, N240:AB240) - AH240</f>
        <v>30</v>
      </c>
      <c r="AJ240" s="2"/>
      <c r="AK240" s="2"/>
      <c r="AL240" s="2"/>
      <c r="AM240" s="2"/>
      <c r="AN240" s="2"/>
      <c r="AO240" s="2"/>
    </row>
    <row r="241" spans="1:41" ht="13.5">
      <c r="A241" s="11">
        <v>30</v>
      </c>
      <c r="B241" s="12" t="s">
        <v>105</v>
      </c>
      <c r="C241" s="11" t="s">
        <v>37</v>
      </c>
      <c r="D241" s="11" t="s">
        <v>106</v>
      </c>
      <c r="E241" s="11" t="s">
        <v>107</v>
      </c>
      <c r="F241" s="11" t="s">
        <v>110</v>
      </c>
      <c r="G241" s="14">
        <v>5500</v>
      </c>
      <c r="H241" s="25" t="s">
        <v>111</v>
      </c>
      <c r="I241" s="11" t="s">
        <v>41</v>
      </c>
      <c r="J241" s="11" t="s">
        <v>42</v>
      </c>
      <c r="K241" s="15">
        <v>13</v>
      </c>
      <c r="L241" s="15">
        <v>13</v>
      </c>
      <c r="M241" s="15" t="e">
        <f>#REF!=L241</f>
        <v>#REF!</v>
      </c>
      <c r="N241" s="15"/>
      <c r="O241" s="15"/>
      <c r="P241" s="16">
        <v>20</v>
      </c>
      <c r="Q241" s="16"/>
      <c r="R241" s="16"/>
      <c r="S241" s="16"/>
      <c r="T241" s="16">
        <v>30</v>
      </c>
      <c r="U241" s="16"/>
      <c r="V241" s="16"/>
      <c r="W241" s="16"/>
      <c r="X241" s="16"/>
      <c r="Y241" s="16"/>
      <c r="Z241" s="16"/>
      <c r="AA241" s="16">
        <v>18</v>
      </c>
      <c r="AB241" s="16"/>
      <c r="AC241" s="16"/>
      <c r="AD241" s="16"/>
      <c r="AE241" s="16"/>
      <c r="AF241" s="16"/>
      <c r="AG241" s="16"/>
      <c r="AH241" s="16">
        <v>60</v>
      </c>
      <c r="AI241" s="17">
        <f>SUM(K241, N241:AB241) - AH241</f>
        <v>21</v>
      </c>
      <c r="AJ241" s="2"/>
      <c r="AK241" s="2"/>
      <c r="AL241" s="2"/>
      <c r="AM241" s="2"/>
      <c r="AN241" s="2"/>
      <c r="AO241" s="2"/>
    </row>
    <row r="242" spans="1:41" ht="13.5">
      <c r="A242" s="11">
        <v>80</v>
      </c>
      <c r="B242" s="12" t="s">
        <v>223</v>
      </c>
      <c r="C242" s="11" t="s">
        <v>160</v>
      </c>
      <c r="D242" s="11" t="s">
        <v>229</v>
      </c>
      <c r="E242" s="11" t="s">
        <v>236</v>
      </c>
      <c r="F242" s="13" t="s">
        <v>237</v>
      </c>
      <c r="G242" s="19">
        <v>6000</v>
      </c>
      <c r="H242" s="25" t="s">
        <v>238</v>
      </c>
      <c r="I242" s="11" t="s">
        <v>41</v>
      </c>
      <c r="J242" s="12" t="s">
        <v>164</v>
      </c>
      <c r="K242" s="15">
        <v>5</v>
      </c>
      <c r="L242" s="15"/>
      <c r="M242" s="15" t="e">
        <f>#REF!=L242</f>
        <v>#REF!</v>
      </c>
      <c r="N242" s="15"/>
      <c r="O242" s="15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>
        <v>5</v>
      </c>
      <c r="AI242" s="17">
        <f>SUM(K242, N242:AB242) - AH242</f>
        <v>0</v>
      </c>
      <c r="AJ242" s="2"/>
      <c r="AK242" s="2"/>
      <c r="AL242" s="2"/>
      <c r="AM242" s="2"/>
      <c r="AN242" s="2"/>
      <c r="AO242" s="2"/>
    </row>
    <row r="243" spans="1:41" ht="13.5">
      <c r="A243" s="11">
        <v>81</v>
      </c>
      <c r="B243" s="12" t="s">
        <v>223</v>
      </c>
      <c r="C243" s="11" t="s">
        <v>160</v>
      </c>
      <c r="D243" s="11" t="s">
        <v>229</v>
      </c>
      <c r="E243" s="11" t="s">
        <v>236</v>
      </c>
      <c r="F243" s="13" t="s">
        <v>239</v>
      </c>
      <c r="G243" s="19">
        <v>15000</v>
      </c>
      <c r="H243" s="25" t="s">
        <v>240</v>
      </c>
      <c r="I243" s="11" t="s">
        <v>41</v>
      </c>
      <c r="J243" s="12" t="s">
        <v>164</v>
      </c>
      <c r="K243" s="15">
        <v>5</v>
      </c>
      <c r="L243" s="15"/>
      <c r="M243" s="15" t="e">
        <f>#REF!=L243</f>
        <v>#REF!</v>
      </c>
      <c r="N243" s="15"/>
      <c r="O243" s="15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>
        <v>5</v>
      </c>
      <c r="AI243" s="17">
        <f>SUM(K243, N243:AB243) - AH243</f>
        <v>0</v>
      </c>
      <c r="AJ243" s="2"/>
      <c r="AK243" s="2"/>
      <c r="AL243" s="2"/>
      <c r="AM243" s="2"/>
      <c r="AN243" s="2"/>
      <c r="AO243" s="2"/>
    </row>
    <row r="244" spans="1:41" ht="13.5">
      <c r="A244" s="11">
        <v>153</v>
      </c>
      <c r="B244" s="12" t="s">
        <v>413</v>
      </c>
      <c r="C244" s="11" t="s">
        <v>160</v>
      </c>
      <c r="D244" s="11" t="s">
        <v>95</v>
      </c>
      <c r="E244" s="11" t="s">
        <v>124</v>
      </c>
      <c r="F244" s="13" t="s">
        <v>414</v>
      </c>
      <c r="G244" s="19">
        <v>12900</v>
      </c>
      <c r="H244" s="25" t="s">
        <v>415</v>
      </c>
      <c r="I244" s="11" t="s">
        <v>41</v>
      </c>
      <c r="J244" s="12" t="s">
        <v>164</v>
      </c>
      <c r="K244" s="15">
        <v>5</v>
      </c>
      <c r="L244" s="15">
        <v>5</v>
      </c>
      <c r="M244" s="15" t="e">
        <f>#REF!=L244</f>
        <v>#REF!</v>
      </c>
      <c r="N244" s="15"/>
      <c r="O244" s="15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>
        <v>5</v>
      </c>
      <c r="AI244" s="17">
        <f>SUM(K244, N244:AB244) - AH244</f>
        <v>0</v>
      </c>
      <c r="AJ244" s="2"/>
      <c r="AK244" s="2"/>
      <c r="AL244" s="2"/>
      <c r="AM244" s="2"/>
      <c r="AN244" s="2"/>
      <c r="AO244" s="2"/>
    </row>
    <row r="245" spans="1:41" ht="13.5">
      <c r="A245" s="11">
        <v>155</v>
      </c>
      <c r="B245" s="12" t="s">
        <v>413</v>
      </c>
      <c r="C245" s="11" t="s">
        <v>160</v>
      </c>
      <c r="D245" s="11" t="s">
        <v>99</v>
      </c>
      <c r="E245" s="11" t="s">
        <v>100</v>
      </c>
      <c r="F245" s="13" t="s">
        <v>418</v>
      </c>
      <c r="G245" s="19">
        <v>8000</v>
      </c>
      <c r="H245" s="25" t="s">
        <v>419</v>
      </c>
      <c r="I245" s="11" t="s">
        <v>41</v>
      </c>
      <c r="J245" s="12" t="s">
        <v>164</v>
      </c>
      <c r="K245" s="15">
        <v>20</v>
      </c>
      <c r="L245" s="15">
        <v>20</v>
      </c>
      <c r="M245" s="15" t="e">
        <f>#REF!=L245</f>
        <v>#REF!</v>
      </c>
      <c r="N245" s="15"/>
      <c r="O245" s="15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>
        <v>3</v>
      </c>
      <c r="AI245" s="17">
        <f>SUM(K245, N245:AB245) - AH245</f>
        <v>17</v>
      </c>
      <c r="AJ245" s="2"/>
      <c r="AK245" s="2"/>
      <c r="AL245" s="2"/>
      <c r="AM245" s="2"/>
      <c r="AN245" s="2"/>
      <c r="AO245" s="2"/>
    </row>
    <row r="246" spans="1:41" ht="13.5">
      <c r="A246" s="11">
        <v>128</v>
      </c>
      <c r="B246" s="12" t="s">
        <v>354</v>
      </c>
      <c r="C246" s="11" t="s">
        <v>160</v>
      </c>
      <c r="D246" s="11" t="s">
        <v>246</v>
      </c>
      <c r="E246" s="11" t="s">
        <v>303</v>
      </c>
      <c r="F246" s="13" t="s">
        <v>355</v>
      </c>
      <c r="G246" s="19">
        <v>1500</v>
      </c>
      <c r="H246" s="25" t="s">
        <v>356</v>
      </c>
      <c r="I246" s="11" t="s">
        <v>41</v>
      </c>
      <c r="J246" s="11" t="s">
        <v>42</v>
      </c>
      <c r="K246" s="15">
        <v>30</v>
      </c>
      <c r="L246" s="15">
        <v>30</v>
      </c>
      <c r="M246" s="15" t="e">
        <f>#REF!=L246</f>
        <v>#REF!</v>
      </c>
      <c r="N246" s="15"/>
      <c r="O246" s="15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7">
        <f>SUM(K246, N246:AB246) - AH246</f>
        <v>30</v>
      </c>
      <c r="AJ246" s="2"/>
      <c r="AK246" s="2"/>
      <c r="AL246" s="2"/>
      <c r="AM246" s="2"/>
      <c r="AN246" s="2"/>
      <c r="AO246" s="2"/>
    </row>
    <row r="247" spans="1:41" ht="13.5">
      <c r="A247" s="11">
        <v>129</v>
      </c>
      <c r="B247" s="12" t="s">
        <v>354</v>
      </c>
      <c r="C247" s="11" t="s">
        <v>160</v>
      </c>
      <c r="D247" s="11" t="s">
        <v>246</v>
      </c>
      <c r="E247" s="11" t="s">
        <v>357</v>
      </c>
      <c r="F247" s="13" t="s">
        <v>358</v>
      </c>
      <c r="G247" s="19">
        <v>6000</v>
      </c>
      <c r="H247" s="25" t="s">
        <v>359</v>
      </c>
      <c r="I247" s="11" t="s">
        <v>41</v>
      </c>
      <c r="J247" s="11" t="s">
        <v>42</v>
      </c>
      <c r="K247" s="15">
        <v>5</v>
      </c>
      <c r="L247" s="15">
        <v>10</v>
      </c>
      <c r="M247" s="15" t="e">
        <f>#REF!=L247</f>
        <v>#REF!</v>
      </c>
      <c r="N247" s="15"/>
      <c r="O247" s="15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7">
        <f>SUM(K247, N247:AB247) - AH247</f>
        <v>5</v>
      </c>
      <c r="AJ247" s="2"/>
      <c r="AK247" s="2"/>
      <c r="AL247" s="2"/>
      <c r="AM247" s="2"/>
      <c r="AN247" s="2"/>
      <c r="AO247" s="2"/>
    </row>
    <row r="248" spans="1:41" ht="13.5">
      <c r="A248" s="11">
        <v>130</v>
      </c>
      <c r="B248" s="12" t="s">
        <v>354</v>
      </c>
      <c r="C248" s="11" t="s">
        <v>160</v>
      </c>
      <c r="D248" s="11" t="s">
        <v>246</v>
      </c>
      <c r="E248" s="11" t="s">
        <v>357</v>
      </c>
      <c r="F248" s="13" t="s">
        <v>360</v>
      </c>
      <c r="G248" s="19">
        <v>6000</v>
      </c>
      <c r="H248" s="25" t="s">
        <v>361</v>
      </c>
      <c r="I248" s="11" t="s">
        <v>41</v>
      </c>
      <c r="J248" s="11" t="s">
        <v>42</v>
      </c>
      <c r="K248" s="15">
        <v>5</v>
      </c>
      <c r="L248" s="15">
        <v>10</v>
      </c>
      <c r="M248" s="15" t="e">
        <f>#REF!=L248</f>
        <v>#REF!</v>
      </c>
      <c r="N248" s="15"/>
      <c r="O248" s="15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>
        <v>3</v>
      </c>
      <c r="AI248" s="17">
        <f>SUM(K248, N248:AB248) - AH248</f>
        <v>2</v>
      </c>
      <c r="AJ248" s="2"/>
      <c r="AK248" s="2"/>
      <c r="AL248" s="2"/>
      <c r="AM248" s="2"/>
      <c r="AN248" s="2"/>
      <c r="AO248" s="2"/>
    </row>
    <row r="249" spans="1:41" ht="13.5">
      <c r="A249" s="11">
        <v>235</v>
      </c>
      <c r="B249" s="12" t="s">
        <v>596</v>
      </c>
      <c r="C249" s="11" t="s">
        <v>574</v>
      </c>
      <c r="D249" s="11" t="s">
        <v>106</v>
      </c>
      <c r="E249" s="11" t="s">
        <v>597</v>
      </c>
      <c r="F249" s="27" t="s">
        <v>602</v>
      </c>
      <c r="G249" s="26">
        <v>5500</v>
      </c>
      <c r="H249" s="25" t="s">
        <v>603</v>
      </c>
      <c r="I249" s="11" t="s">
        <v>41</v>
      </c>
      <c r="J249" s="11" t="s">
        <v>42</v>
      </c>
      <c r="K249" s="15">
        <v>3</v>
      </c>
      <c r="L249" s="15">
        <v>3</v>
      </c>
      <c r="M249" s="15" t="e">
        <f>#REF!=L249</f>
        <v>#REF!</v>
      </c>
      <c r="N249" s="15"/>
      <c r="O249" s="15">
        <v>45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>
        <v>10</v>
      </c>
      <c r="AC249" s="16"/>
      <c r="AD249" s="16"/>
      <c r="AE249" s="16"/>
      <c r="AF249" s="16"/>
      <c r="AG249" s="16"/>
      <c r="AH249" s="16">
        <v>38</v>
      </c>
      <c r="AI249" s="17">
        <f>SUM(K249, N249:AB249) - AH249</f>
        <v>20</v>
      </c>
      <c r="AJ249" s="2"/>
      <c r="AK249" s="2"/>
      <c r="AL249" s="2"/>
      <c r="AM249" s="2"/>
      <c r="AN249" s="2"/>
      <c r="AO249" s="2"/>
    </row>
    <row r="250" spans="1:41" ht="13.5">
      <c r="A250" s="11">
        <v>233</v>
      </c>
      <c r="B250" s="12" t="s">
        <v>596</v>
      </c>
      <c r="C250" s="11" t="s">
        <v>574</v>
      </c>
      <c r="D250" s="11" t="s">
        <v>106</v>
      </c>
      <c r="E250" s="11" t="s">
        <v>597</v>
      </c>
      <c r="F250" s="27" t="s">
        <v>598</v>
      </c>
      <c r="G250" s="26">
        <v>5500</v>
      </c>
      <c r="H250" s="25" t="s">
        <v>599</v>
      </c>
      <c r="I250" s="11" t="s">
        <v>41</v>
      </c>
      <c r="J250" s="11" t="s">
        <v>42</v>
      </c>
      <c r="K250" s="15">
        <v>3</v>
      </c>
      <c r="L250" s="15">
        <v>3</v>
      </c>
      <c r="M250" s="15" t="e">
        <f>#REF!=L250</f>
        <v>#REF!</v>
      </c>
      <c r="N250" s="15"/>
      <c r="O250" s="15"/>
      <c r="P250" s="16">
        <v>21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>
        <v>10</v>
      </c>
      <c r="AC250" s="16"/>
      <c r="AD250" s="16"/>
      <c r="AE250" s="16"/>
      <c r="AF250" s="16"/>
      <c r="AG250" s="16"/>
      <c r="AH250" s="16">
        <v>10</v>
      </c>
      <c r="AI250" s="17">
        <f>SUM(K250, N250:AB250) - AH250</f>
        <v>24</v>
      </c>
      <c r="AJ250" s="2"/>
      <c r="AK250" s="2"/>
      <c r="AL250" s="2"/>
      <c r="AM250" s="2"/>
      <c r="AN250" s="2"/>
      <c r="AO250" s="2"/>
    </row>
    <row r="251" spans="1:41" ht="13.5">
      <c r="A251" s="11">
        <v>234</v>
      </c>
      <c r="B251" s="12" t="s">
        <v>596</v>
      </c>
      <c r="C251" s="11" t="s">
        <v>574</v>
      </c>
      <c r="D251" s="11" t="s">
        <v>106</v>
      </c>
      <c r="E251" s="11" t="s">
        <v>597</v>
      </c>
      <c r="F251" s="27" t="s">
        <v>600</v>
      </c>
      <c r="G251" s="26">
        <v>5500</v>
      </c>
      <c r="H251" s="25" t="s">
        <v>601</v>
      </c>
      <c r="I251" s="11" t="s">
        <v>41</v>
      </c>
      <c r="J251" s="11" t="s">
        <v>42</v>
      </c>
      <c r="K251" s="15">
        <v>3</v>
      </c>
      <c r="L251" s="15">
        <v>3</v>
      </c>
      <c r="M251" s="15" t="e">
        <f>#REF!=L251</f>
        <v>#REF!</v>
      </c>
      <c r="N251" s="15"/>
      <c r="O251" s="15"/>
      <c r="P251" s="16">
        <v>24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>
        <v>40</v>
      </c>
      <c r="AC251" s="16"/>
      <c r="AD251" s="16"/>
      <c r="AE251" s="16"/>
      <c r="AF251" s="16"/>
      <c r="AG251" s="16"/>
      <c r="AH251" s="16">
        <v>27</v>
      </c>
      <c r="AI251" s="17">
        <f>SUM(K251, N251:AB251) - AH251</f>
        <v>40</v>
      </c>
      <c r="AJ251" s="2"/>
      <c r="AK251" s="2"/>
      <c r="AL251" s="2"/>
      <c r="AM251" s="2"/>
      <c r="AN251" s="2"/>
      <c r="AO251" s="2"/>
    </row>
    <row r="252" spans="1:41" ht="13.5">
      <c r="A252" s="11">
        <v>236</v>
      </c>
      <c r="B252" s="12" t="s">
        <v>596</v>
      </c>
      <c r="C252" s="11" t="s">
        <v>574</v>
      </c>
      <c r="D252" s="11" t="s">
        <v>106</v>
      </c>
      <c r="E252" s="11" t="s">
        <v>597</v>
      </c>
      <c r="F252" s="27" t="s">
        <v>604</v>
      </c>
      <c r="G252" s="26">
        <v>5500</v>
      </c>
      <c r="H252" s="25" t="s">
        <v>605</v>
      </c>
      <c r="I252" s="11" t="s">
        <v>41</v>
      </c>
      <c r="J252" s="11" t="s">
        <v>42</v>
      </c>
      <c r="K252" s="15">
        <v>3</v>
      </c>
      <c r="L252" s="15">
        <v>3</v>
      </c>
      <c r="M252" s="15" t="e">
        <f>#REF!=L252</f>
        <v>#REF!</v>
      </c>
      <c r="N252" s="15"/>
      <c r="O252" s="15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>
        <v>3</v>
      </c>
      <c r="AI252" s="17">
        <f>SUM(K252, N252:AB252) - AH252</f>
        <v>0</v>
      </c>
      <c r="AJ252" s="2"/>
      <c r="AK252" s="2"/>
      <c r="AL252" s="2"/>
      <c r="AM252" s="2"/>
      <c r="AN252" s="2"/>
      <c r="AO252" s="2"/>
    </row>
    <row r="253" spans="1:41" ht="13.5">
      <c r="A253" s="11">
        <v>222</v>
      </c>
      <c r="B253" s="12" t="s">
        <v>567</v>
      </c>
      <c r="C253" s="11" t="s">
        <v>160</v>
      </c>
      <c r="D253" s="11" t="s">
        <v>246</v>
      </c>
      <c r="E253" s="11" t="s">
        <v>568</v>
      </c>
      <c r="F253" s="13" t="s">
        <v>569</v>
      </c>
      <c r="G253" s="19">
        <v>9000</v>
      </c>
      <c r="H253" s="25" t="s">
        <v>570</v>
      </c>
      <c r="I253" s="11" t="s">
        <v>41</v>
      </c>
      <c r="J253" s="11" t="s">
        <v>42</v>
      </c>
      <c r="K253" s="15">
        <v>6</v>
      </c>
      <c r="L253" s="15">
        <v>3</v>
      </c>
      <c r="M253" s="15" t="e">
        <f>#REF!=L253</f>
        <v>#REF!</v>
      </c>
      <c r="N253" s="15"/>
      <c r="O253" s="15">
        <v>10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>
        <v>10</v>
      </c>
      <c r="AI253" s="17">
        <f>SUM(K253, N253:AB253) - AH253</f>
        <v>6</v>
      </c>
      <c r="AJ253" s="2"/>
      <c r="AK253" s="2"/>
      <c r="AL253" s="2"/>
      <c r="AM253" s="2"/>
      <c r="AN253" s="2"/>
      <c r="AO253" s="2"/>
    </row>
    <row r="254" spans="1:41" ht="13.5">
      <c r="A254" s="11">
        <v>53</v>
      </c>
      <c r="B254" s="12" t="s">
        <v>159</v>
      </c>
      <c r="C254" s="11" t="s">
        <v>160</v>
      </c>
      <c r="D254" s="11" t="s">
        <v>106</v>
      </c>
      <c r="E254" s="11" t="s">
        <v>161</v>
      </c>
      <c r="F254" s="11" t="s">
        <v>165</v>
      </c>
      <c r="G254" s="14">
        <v>14000</v>
      </c>
      <c r="H254" s="25" t="s">
        <v>166</v>
      </c>
      <c r="I254" s="11" t="s">
        <v>41</v>
      </c>
      <c r="J254" s="12" t="s">
        <v>164</v>
      </c>
      <c r="K254" s="15">
        <v>3</v>
      </c>
      <c r="L254" s="15">
        <v>3</v>
      </c>
      <c r="M254" s="15" t="e">
        <f>#REF!=L254</f>
        <v>#REF!</v>
      </c>
      <c r="N254" s="15"/>
      <c r="O254" s="15"/>
      <c r="P254" s="16">
        <v>10</v>
      </c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>
        <v>7</v>
      </c>
      <c r="AI254" s="17">
        <f>SUM(K254, N254:AB254) - AH254</f>
        <v>6</v>
      </c>
      <c r="AJ254" s="2"/>
      <c r="AK254" s="2"/>
      <c r="AL254" s="2"/>
      <c r="AM254" s="2"/>
      <c r="AN254" s="2"/>
      <c r="AO254" s="2"/>
    </row>
    <row r="255" spans="1:41" ht="13.5">
      <c r="A255" s="11">
        <v>65</v>
      </c>
      <c r="B255" s="12" t="s">
        <v>159</v>
      </c>
      <c r="C255" s="11" t="s">
        <v>160</v>
      </c>
      <c r="D255" s="11" t="s">
        <v>106</v>
      </c>
      <c r="E255" s="11" t="s">
        <v>121</v>
      </c>
      <c r="F255" s="11" t="s">
        <v>189</v>
      </c>
      <c r="G255" s="14">
        <v>18000</v>
      </c>
      <c r="H255" s="25" t="s">
        <v>190</v>
      </c>
      <c r="I255" s="11" t="s">
        <v>41</v>
      </c>
      <c r="J255" s="12" t="s">
        <v>164</v>
      </c>
      <c r="K255" s="15">
        <v>10</v>
      </c>
      <c r="L255" s="15">
        <v>5</v>
      </c>
      <c r="M255" s="15" t="e">
        <f>#REF!=L255</f>
        <v>#REF!</v>
      </c>
      <c r="N255" s="15"/>
      <c r="O255" s="15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>
        <v>5</v>
      </c>
      <c r="AI255" s="17">
        <f>SUM(K255, N255:AB255) - AH255</f>
        <v>5</v>
      </c>
      <c r="AJ255" s="2"/>
      <c r="AK255" s="2"/>
      <c r="AL255" s="2"/>
      <c r="AM255" s="2"/>
      <c r="AN255" s="2"/>
      <c r="AO255" s="2"/>
    </row>
    <row r="256" spans="1:41" ht="13.5">
      <c r="A256" s="11">
        <v>244</v>
      </c>
      <c r="B256" s="12" t="s">
        <v>609</v>
      </c>
      <c r="C256" s="11" t="s">
        <v>574</v>
      </c>
      <c r="D256" s="11" t="s">
        <v>224</v>
      </c>
      <c r="E256" s="11" t="s">
        <v>224</v>
      </c>
      <c r="F256" s="29" t="s">
        <v>622</v>
      </c>
      <c r="G256" s="14">
        <v>10000</v>
      </c>
      <c r="H256" s="25" t="s">
        <v>623</v>
      </c>
      <c r="I256" s="11" t="s">
        <v>41</v>
      </c>
      <c r="J256" s="11" t="s">
        <v>42</v>
      </c>
      <c r="K256" s="15">
        <v>5</v>
      </c>
      <c r="L256" s="15">
        <v>5</v>
      </c>
      <c r="M256" s="15" t="e">
        <f>#REF!=L256</f>
        <v>#REF!</v>
      </c>
      <c r="N256" s="15"/>
      <c r="O256" s="15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>
        <v>2</v>
      </c>
      <c r="AI256" s="17">
        <f>SUM(K256, N256:AB256) - AH256</f>
        <v>3</v>
      </c>
      <c r="AJ256" s="2"/>
      <c r="AK256" s="2"/>
      <c r="AL256" s="2"/>
      <c r="AM256" s="2"/>
      <c r="AN256" s="2"/>
      <c r="AO256" s="2"/>
    </row>
    <row r="257" spans="1:41" ht="13.5">
      <c r="A257" s="11">
        <v>243</v>
      </c>
      <c r="B257" s="12" t="s">
        <v>609</v>
      </c>
      <c r="C257" s="11" t="s">
        <v>574</v>
      </c>
      <c r="D257" s="11" t="s">
        <v>224</v>
      </c>
      <c r="E257" s="11" t="s">
        <v>224</v>
      </c>
      <c r="F257" s="29" t="s">
        <v>620</v>
      </c>
      <c r="G257" s="14">
        <v>10000</v>
      </c>
      <c r="H257" s="25" t="s">
        <v>621</v>
      </c>
      <c r="I257" s="11" t="s">
        <v>41</v>
      </c>
      <c r="J257" s="11" t="s">
        <v>42</v>
      </c>
      <c r="K257" s="15">
        <v>30</v>
      </c>
      <c r="L257" s="15">
        <v>30</v>
      </c>
      <c r="M257" s="15" t="e">
        <f>#REF!=L257</f>
        <v>#REF!</v>
      </c>
      <c r="N257" s="15"/>
      <c r="O257" s="15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>
        <v>2</v>
      </c>
      <c r="AI257" s="17">
        <f>SUM(K257, N257:AB257) - AH257</f>
        <v>28</v>
      </c>
      <c r="AJ257" s="2"/>
      <c r="AK257" s="2"/>
      <c r="AL257" s="2"/>
      <c r="AM257" s="2"/>
      <c r="AN257" s="2"/>
      <c r="AO257" s="2"/>
    </row>
    <row r="258" spans="1:41" ht="13.5">
      <c r="A258" s="11">
        <v>239</v>
      </c>
      <c r="B258" s="12" t="s">
        <v>609</v>
      </c>
      <c r="C258" s="11" t="s">
        <v>574</v>
      </c>
      <c r="D258" s="11" t="s">
        <v>229</v>
      </c>
      <c r="E258" s="11" t="s">
        <v>230</v>
      </c>
      <c r="F258" s="28" t="s">
        <v>612</v>
      </c>
      <c r="G258" s="14">
        <v>15000</v>
      </c>
      <c r="H258" s="25" t="s">
        <v>613</v>
      </c>
      <c r="I258" s="11" t="s">
        <v>41</v>
      </c>
      <c r="J258" s="11" t="s">
        <v>42</v>
      </c>
      <c r="K258" s="15">
        <v>2</v>
      </c>
      <c r="L258" s="15">
        <v>2</v>
      </c>
      <c r="M258" s="15" t="e">
        <f>#REF!=L258</f>
        <v>#REF!</v>
      </c>
      <c r="N258" s="15"/>
      <c r="O258" s="15"/>
      <c r="P258" s="16"/>
      <c r="Q258" s="16">
        <v>5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>
        <v>1</v>
      </c>
      <c r="AI258" s="17">
        <f>SUM(K258, N258:AB258) - AH258</f>
        <v>6</v>
      </c>
      <c r="AJ258" s="2"/>
      <c r="AK258" s="2"/>
      <c r="AL258" s="2"/>
      <c r="AM258" s="2"/>
      <c r="AN258" s="2"/>
      <c r="AO258" s="2"/>
    </row>
    <row r="259" spans="1:41" ht="13.5">
      <c r="A259" s="11">
        <v>242</v>
      </c>
      <c r="B259" s="12" t="s">
        <v>609</v>
      </c>
      <c r="C259" s="11" t="s">
        <v>574</v>
      </c>
      <c r="D259" s="11" t="s">
        <v>38</v>
      </c>
      <c r="E259" s="11" t="s">
        <v>38</v>
      </c>
      <c r="F259" s="29" t="s">
        <v>618</v>
      </c>
      <c r="G259" s="14">
        <v>25000</v>
      </c>
      <c r="H259" s="25" t="s">
        <v>619</v>
      </c>
      <c r="I259" s="11" t="s">
        <v>41</v>
      </c>
      <c r="J259" s="11" t="s">
        <v>42</v>
      </c>
      <c r="K259" s="15">
        <v>4</v>
      </c>
      <c r="L259" s="15">
        <v>4</v>
      </c>
      <c r="M259" s="15" t="e">
        <f>#REF!=L259</f>
        <v>#REF!</v>
      </c>
      <c r="N259" s="15"/>
      <c r="O259" s="15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7">
        <f>SUM(K259, N259:AB259) - AH259</f>
        <v>4</v>
      </c>
      <c r="AJ259" s="2"/>
      <c r="AK259" s="2"/>
      <c r="AL259" s="2"/>
      <c r="AM259" s="2"/>
      <c r="AN259" s="2"/>
      <c r="AO259" s="2"/>
    </row>
    <row r="260" spans="1:41" ht="13.5">
      <c r="A260" s="11">
        <v>179</v>
      </c>
      <c r="B260" s="12" t="s">
        <v>469</v>
      </c>
      <c r="C260" s="11" t="s">
        <v>160</v>
      </c>
      <c r="D260" s="11" t="s">
        <v>474</v>
      </c>
      <c r="E260" s="11" t="s">
        <v>474</v>
      </c>
      <c r="F260" s="11" t="s">
        <v>477</v>
      </c>
      <c r="G260" s="26">
        <v>255000</v>
      </c>
      <c r="H260" s="25" t="s">
        <v>478</v>
      </c>
      <c r="I260" s="11" t="s">
        <v>41</v>
      </c>
      <c r="J260" s="12" t="s">
        <v>164</v>
      </c>
      <c r="K260" s="15">
        <v>2</v>
      </c>
      <c r="L260" s="15">
        <v>2</v>
      </c>
      <c r="M260" s="15" t="e">
        <f>#REF!=L260</f>
        <v>#REF!</v>
      </c>
      <c r="N260" s="15"/>
      <c r="O260" s="15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>
        <v>1</v>
      </c>
      <c r="AI260" s="17">
        <f>SUM(K260, N260:AB260) - AH260</f>
        <v>1</v>
      </c>
      <c r="AJ260" s="2"/>
      <c r="AK260" s="2"/>
      <c r="AL260" s="2"/>
      <c r="AM260" s="2"/>
      <c r="AN260" s="2"/>
      <c r="AO260" s="2"/>
    </row>
    <row r="261" spans="1:41" ht="13.5">
      <c r="A261" s="11">
        <v>177</v>
      </c>
      <c r="B261" s="12" t="s">
        <v>469</v>
      </c>
      <c r="C261" s="11" t="s">
        <v>160</v>
      </c>
      <c r="D261" s="11" t="s">
        <v>95</v>
      </c>
      <c r="E261" s="11" t="s">
        <v>208</v>
      </c>
      <c r="F261" s="11" t="s">
        <v>472</v>
      </c>
      <c r="G261" s="26">
        <v>75000</v>
      </c>
      <c r="H261" s="25" t="s">
        <v>473</v>
      </c>
      <c r="I261" s="11" t="s">
        <v>41</v>
      </c>
      <c r="J261" s="12" t="s">
        <v>164</v>
      </c>
      <c r="K261" s="15">
        <v>2</v>
      </c>
      <c r="L261" s="15">
        <v>2</v>
      </c>
      <c r="M261" s="15" t="e">
        <f>#REF!=L261</f>
        <v>#REF!</v>
      </c>
      <c r="N261" s="15"/>
      <c r="O261" s="15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>
        <v>1</v>
      </c>
      <c r="AI261" s="17">
        <f>SUM(K261, N261:AB261) - AH261</f>
        <v>1</v>
      </c>
      <c r="AJ261" s="2"/>
      <c r="AK261" s="2"/>
      <c r="AL261" s="2"/>
      <c r="AM261" s="2"/>
      <c r="AN261" s="2"/>
      <c r="AO261" s="2"/>
    </row>
    <row r="262" spans="1:41" ht="13.5">
      <c r="A262" s="11">
        <v>178</v>
      </c>
      <c r="B262" s="12" t="s">
        <v>469</v>
      </c>
      <c r="C262" s="11" t="s">
        <v>160</v>
      </c>
      <c r="D262" s="11" t="s">
        <v>474</v>
      </c>
      <c r="E262" s="11" t="s">
        <v>474</v>
      </c>
      <c r="F262" s="11" t="s">
        <v>475</v>
      </c>
      <c r="G262" s="26">
        <v>128000</v>
      </c>
      <c r="H262" s="25" t="s">
        <v>476</v>
      </c>
      <c r="I262" s="11" t="s">
        <v>41</v>
      </c>
      <c r="J262" s="12" t="s">
        <v>164</v>
      </c>
      <c r="K262" s="15">
        <v>3</v>
      </c>
      <c r="L262" s="15">
        <v>3</v>
      </c>
      <c r="M262" s="15" t="e">
        <f>#REF!=L262</f>
        <v>#REF!</v>
      </c>
      <c r="N262" s="15"/>
      <c r="O262" s="15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>
        <v>1</v>
      </c>
      <c r="AI262" s="17">
        <f>SUM(K262, N262:AB262) - AH262</f>
        <v>2</v>
      </c>
      <c r="AJ262" s="2"/>
      <c r="AK262" s="2"/>
      <c r="AL262" s="2"/>
      <c r="AM262" s="2"/>
      <c r="AN262" s="2"/>
      <c r="AO262" s="2"/>
    </row>
    <row r="263" spans="1:41" ht="13.5">
      <c r="A263" s="11">
        <v>70</v>
      </c>
      <c r="B263" s="12" t="s">
        <v>207</v>
      </c>
      <c r="C263" s="11" t="s">
        <v>160</v>
      </c>
      <c r="D263" s="11" t="s">
        <v>95</v>
      </c>
      <c r="E263" s="11" t="s">
        <v>208</v>
      </c>
      <c r="F263" s="11" t="s">
        <v>209</v>
      </c>
      <c r="G263" s="14">
        <v>9000</v>
      </c>
      <c r="H263" s="25" t="s">
        <v>210</v>
      </c>
      <c r="I263" s="11" t="s">
        <v>41</v>
      </c>
      <c r="J263" s="12" t="s">
        <v>164</v>
      </c>
      <c r="K263" s="15">
        <v>10</v>
      </c>
      <c r="L263" s="15"/>
      <c r="M263" s="15" t="e">
        <f>#REF!=L263</f>
        <v>#REF!</v>
      </c>
      <c r="N263" s="15"/>
      <c r="O263" s="15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7">
        <f>SUM(K263, N263:AB263) - AH263</f>
        <v>10</v>
      </c>
      <c r="AJ263" s="2"/>
      <c r="AK263" s="2"/>
      <c r="AL263" s="2"/>
      <c r="AM263" s="2"/>
      <c r="AN263" s="2"/>
      <c r="AO263" s="2"/>
    </row>
    <row r="264" spans="1:41" ht="13.5">
      <c r="A264" s="11">
        <v>131</v>
      </c>
      <c r="B264" s="12" t="s">
        <v>362</v>
      </c>
      <c r="C264" s="11" t="s">
        <v>160</v>
      </c>
      <c r="D264" s="11" t="s">
        <v>106</v>
      </c>
      <c r="E264" s="11" t="s">
        <v>363</v>
      </c>
      <c r="F264" s="13" t="s">
        <v>364</v>
      </c>
      <c r="G264" s="19">
        <v>9500</v>
      </c>
      <c r="H264" s="25" t="s">
        <v>365</v>
      </c>
      <c r="I264" s="11" t="s">
        <v>41</v>
      </c>
      <c r="J264" s="11" t="s">
        <v>42</v>
      </c>
      <c r="K264" s="15">
        <v>10</v>
      </c>
      <c r="L264" s="15">
        <v>10</v>
      </c>
      <c r="M264" s="15" t="e">
        <f>#REF!=L264</f>
        <v>#REF!</v>
      </c>
      <c r="N264" s="15"/>
      <c r="O264" s="15"/>
      <c r="P264" s="16"/>
      <c r="Q264" s="16"/>
      <c r="R264" s="16"/>
      <c r="S264" s="16"/>
      <c r="T264" s="16"/>
      <c r="U264" s="16">
        <v>7</v>
      </c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>
        <v>12</v>
      </c>
      <c r="AI264" s="17">
        <f>SUM(K264, N264:AB264) - AH264</f>
        <v>5</v>
      </c>
      <c r="AJ264" s="2"/>
      <c r="AK264" s="2"/>
      <c r="AL264" s="2"/>
      <c r="AM264" s="2"/>
      <c r="AN264" s="2"/>
      <c r="AO264" s="2"/>
    </row>
    <row r="265" spans="1:41" ht="13.5">
      <c r="A265" s="11">
        <v>132</v>
      </c>
      <c r="B265" s="12" t="s">
        <v>362</v>
      </c>
      <c r="C265" s="11" t="s">
        <v>160</v>
      </c>
      <c r="D265" s="11" t="s">
        <v>106</v>
      </c>
      <c r="E265" s="11" t="s">
        <v>363</v>
      </c>
      <c r="F265" s="13" t="s">
        <v>366</v>
      </c>
      <c r="G265" s="19">
        <v>15000</v>
      </c>
      <c r="H265" s="25" t="s">
        <v>367</v>
      </c>
      <c r="I265" s="11" t="s">
        <v>41</v>
      </c>
      <c r="J265" s="11" t="s">
        <v>42</v>
      </c>
      <c r="K265" s="15">
        <v>10</v>
      </c>
      <c r="L265" s="15">
        <v>10</v>
      </c>
      <c r="M265" s="15" t="e">
        <f>#REF!=L265</f>
        <v>#REF!</v>
      </c>
      <c r="N265" s="15"/>
      <c r="O265" s="15"/>
      <c r="P265" s="16"/>
      <c r="Q265" s="16"/>
      <c r="R265" s="16"/>
      <c r="S265" s="16"/>
      <c r="T265" s="16"/>
      <c r="U265" s="16">
        <v>3</v>
      </c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>
        <v>9</v>
      </c>
      <c r="AI265" s="17">
        <f>SUM(K265, N265:AB265) - AH265</f>
        <v>4</v>
      </c>
      <c r="AJ265" s="2"/>
      <c r="AK265" s="2"/>
      <c r="AL265" s="2"/>
      <c r="AM265" s="2"/>
      <c r="AN265" s="2"/>
      <c r="AO265" s="2"/>
    </row>
    <row r="266" spans="1:41" ht="13.5">
      <c r="A266" s="11">
        <v>72</v>
      </c>
      <c r="B266" s="12" t="s">
        <v>207</v>
      </c>
      <c r="C266" s="11" t="s">
        <v>160</v>
      </c>
      <c r="D266" s="11" t="s">
        <v>95</v>
      </c>
      <c r="E266" s="11" t="s">
        <v>124</v>
      </c>
      <c r="F266" s="11" t="s">
        <v>213</v>
      </c>
      <c r="G266" s="14">
        <v>10000</v>
      </c>
      <c r="H266" s="25" t="s">
        <v>214</v>
      </c>
      <c r="I266" s="11" t="s">
        <v>41</v>
      </c>
      <c r="J266" s="12" t="s">
        <v>164</v>
      </c>
      <c r="K266" s="15">
        <v>3</v>
      </c>
      <c r="L266" s="15"/>
      <c r="M266" s="15" t="e">
        <f>#REF!=L266</f>
        <v>#REF!</v>
      </c>
      <c r="N266" s="15"/>
      <c r="O266" s="15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7">
        <f>SUM(K266, N266:AB266) - AH266</f>
        <v>3</v>
      </c>
      <c r="AJ266" s="2"/>
      <c r="AK266" s="2"/>
      <c r="AL266" s="2"/>
      <c r="AM266" s="2"/>
      <c r="AN266" s="2"/>
      <c r="AO266" s="2"/>
    </row>
    <row r="267" spans="1:41" ht="13.5">
      <c r="A267" s="11">
        <v>98</v>
      </c>
      <c r="B267" s="12" t="s">
        <v>270</v>
      </c>
      <c r="C267" s="11" t="s">
        <v>160</v>
      </c>
      <c r="D267" s="11" t="s">
        <v>99</v>
      </c>
      <c r="E267" s="11" t="s">
        <v>224</v>
      </c>
      <c r="F267" s="13" t="s">
        <v>279</v>
      </c>
      <c r="G267" s="20">
        <v>11000</v>
      </c>
      <c r="H267" s="25" t="s">
        <v>280</v>
      </c>
      <c r="I267" s="11" t="s">
        <v>41</v>
      </c>
      <c r="J267" s="12" t="s">
        <v>164</v>
      </c>
      <c r="K267" s="15">
        <v>3</v>
      </c>
      <c r="L267" s="15"/>
      <c r="M267" s="15" t="e">
        <f>#REF!=L267</f>
        <v>#REF!</v>
      </c>
      <c r="N267" s="15"/>
      <c r="O267" s="15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>
        <v>1</v>
      </c>
      <c r="AI267" s="17">
        <f>SUM(K267, N267:AB267) - AH267</f>
        <v>2</v>
      </c>
      <c r="AJ267" s="2"/>
      <c r="AK267" s="2"/>
      <c r="AL267" s="2"/>
      <c r="AM267" s="2"/>
      <c r="AN267" s="2"/>
      <c r="AO267" s="2"/>
    </row>
    <row r="268" spans="1:41" ht="13.5">
      <c r="A268" s="11">
        <v>96</v>
      </c>
      <c r="B268" s="12" t="s">
        <v>270</v>
      </c>
      <c r="C268" s="11" t="s">
        <v>160</v>
      </c>
      <c r="D268" s="11" t="s">
        <v>99</v>
      </c>
      <c r="E268" s="11" t="s">
        <v>224</v>
      </c>
      <c r="F268" s="18" t="s">
        <v>275</v>
      </c>
      <c r="G268" s="20">
        <v>6000</v>
      </c>
      <c r="H268" s="25" t="s">
        <v>276</v>
      </c>
      <c r="I268" s="11" t="s">
        <v>41</v>
      </c>
      <c r="J268" s="12" t="s">
        <v>164</v>
      </c>
      <c r="K268" s="15">
        <v>3</v>
      </c>
      <c r="L268" s="15"/>
      <c r="M268" s="15" t="e">
        <f>#REF!=L268</f>
        <v>#REF!</v>
      </c>
      <c r="N268" s="15"/>
      <c r="O268" s="15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7">
        <f>SUM(K268, N268:AB268) - AH268</f>
        <v>3</v>
      </c>
      <c r="AJ268" s="2"/>
      <c r="AK268" s="2"/>
      <c r="AL268" s="2"/>
      <c r="AM268" s="2"/>
      <c r="AN268" s="2"/>
      <c r="AO268" s="2"/>
    </row>
    <row r="269" spans="1:41" ht="13.5">
      <c r="A269" s="11">
        <v>97</v>
      </c>
      <c r="B269" s="12" t="s">
        <v>270</v>
      </c>
      <c r="C269" s="11" t="s">
        <v>160</v>
      </c>
      <c r="D269" s="11" t="s">
        <v>99</v>
      </c>
      <c r="E269" s="11" t="s">
        <v>224</v>
      </c>
      <c r="F269" s="13" t="s">
        <v>277</v>
      </c>
      <c r="G269" s="20">
        <v>8000</v>
      </c>
      <c r="H269" s="25" t="s">
        <v>278</v>
      </c>
      <c r="I269" s="11" t="s">
        <v>41</v>
      </c>
      <c r="J269" s="12" t="s">
        <v>164</v>
      </c>
      <c r="K269" s="15">
        <v>3</v>
      </c>
      <c r="L269" s="15"/>
      <c r="M269" s="15" t="e">
        <f>#REF!=L269</f>
        <v>#REF!</v>
      </c>
      <c r="N269" s="15"/>
      <c r="O269" s="15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>
        <v>1</v>
      </c>
      <c r="AI269" s="17">
        <f>SUM(K269, N269:AB269) - AH269</f>
        <v>2</v>
      </c>
      <c r="AJ269" s="2"/>
      <c r="AK269" s="2"/>
      <c r="AL269" s="2"/>
      <c r="AM269" s="2"/>
      <c r="AN269" s="2"/>
      <c r="AO269" s="2"/>
    </row>
    <row r="270" spans="1:41" ht="13.5">
      <c r="A270" s="11">
        <v>94</v>
      </c>
      <c r="B270" s="12" t="s">
        <v>270</v>
      </c>
      <c r="C270" s="11" t="s">
        <v>160</v>
      </c>
      <c r="D270" s="11" t="s">
        <v>99</v>
      </c>
      <c r="E270" s="11" t="s">
        <v>224</v>
      </c>
      <c r="F270" s="13" t="s">
        <v>271</v>
      </c>
      <c r="G270" s="19">
        <v>5000</v>
      </c>
      <c r="H270" s="25" t="s">
        <v>272</v>
      </c>
      <c r="I270" s="11" t="s">
        <v>41</v>
      </c>
      <c r="J270" s="12" t="s">
        <v>164</v>
      </c>
      <c r="K270" s="15">
        <v>10</v>
      </c>
      <c r="L270" s="15"/>
      <c r="M270" s="15" t="e">
        <f>#REF!=L270</f>
        <v>#REF!</v>
      </c>
      <c r="N270" s="15"/>
      <c r="O270" s="15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>
        <v>1</v>
      </c>
      <c r="AI270" s="17">
        <f>SUM(K270, N270:AB270) - AH270</f>
        <v>9</v>
      </c>
      <c r="AJ270" s="2"/>
      <c r="AK270" s="2"/>
      <c r="AL270" s="2"/>
      <c r="AM270" s="2"/>
      <c r="AN270" s="2"/>
      <c r="AO270" s="2"/>
    </row>
    <row r="271" spans="1:41" ht="13.5">
      <c r="A271" s="11">
        <v>100</v>
      </c>
      <c r="B271" s="12" t="s">
        <v>281</v>
      </c>
      <c r="C271" s="11" t="s">
        <v>160</v>
      </c>
      <c r="D271" s="11" t="s">
        <v>242</v>
      </c>
      <c r="E271" s="11" t="s">
        <v>284</v>
      </c>
      <c r="F271" s="13" t="s">
        <v>285</v>
      </c>
      <c r="G271" s="19">
        <v>10000</v>
      </c>
      <c r="H271" s="25" t="s">
        <v>286</v>
      </c>
      <c r="I271" s="11" t="s">
        <v>41</v>
      </c>
      <c r="J271" s="12" t="s">
        <v>164</v>
      </c>
      <c r="K271" s="15">
        <v>4</v>
      </c>
      <c r="L271" s="15">
        <v>4</v>
      </c>
      <c r="M271" s="15" t="e">
        <f>#REF!=L271</f>
        <v>#REF!</v>
      </c>
      <c r="N271" s="15"/>
      <c r="O271" s="15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7">
        <f>SUM(K271, N271:AB271) - AH271</f>
        <v>4</v>
      </c>
      <c r="AJ271" s="2"/>
      <c r="AK271" s="2"/>
      <c r="AL271" s="2"/>
      <c r="AM271" s="2"/>
      <c r="AN271" s="2"/>
      <c r="AO271" s="2"/>
    </row>
    <row r="272" spans="1:41" ht="13.5">
      <c r="A272" s="11">
        <v>101</v>
      </c>
      <c r="B272" s="12" t="s">
        <v>281</v>
      </c>
      <c r="C272" s="11" t="s">
        <v>160</v>
      </c>
      <c r="D272" s="11" t="s">
        <v>242</v>
      </c>
      <c r="E272" s="11" t="s">
        <v>284</v>
      </c>
      <c r="F272" s="18" t="s">
        <v>287</v>
      </c>
      <c r="G272" s="19">
        <v>17000</v>
      </c>
      <c r="H272" s="25" t="s">
        <v>288</v>
      </c>
      <c r="I272" s="11" t="s">
        <v>41</v>
      </c>
      <c r="J272" s="12" t="s">
        <v>164</v>
      </c>
      <c r="K272" s="15">
        <v>6</v>
      </c>
      <c r="L272" s="15">
        <v>6</v>
      </c>
      <c r="M272" s="15" t="e">
        <f>#REF!=L272</f>
        <v>#REF!</v>
      </c>
      <c r="N272" s="15"/>
      <c r="O272" s="15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>
        <v>1</v>
      </c>
      <c r="AI272" s="17">
        <f>SUM(K272, N272:AB272) - AH272</f>
        <v>5</v>
      </c>
      <c r="AJ272" s="2"/>
      <c r="AK272" s="2"/>
      <c r="AL272" s="2"/>
      <c r="AM272" s="2"/>
      <c r="AN272" s="2"/>
      <c r="AO272" s="2"/>
    </row>
    <row r="273" spans="1:41" ht="13.5">
      <c r="A273" s="2"/>
      <c r="B273" s="2"/>
      <c r="C273" s="31"/>
      <c r="D273" s="31"/>
      <c r="E273" s="31"/>
      <c r="F273" s="31"/>
      <c r="G273" s="2"/>
      <c r="H273" s="40"/>
      <c r="I273" s="2"/>
      <c r="J273" s="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"/>
      <c r="AJ273" s="2"/>
      <c r="AK273" s="2"/>
      <c r="AL273" s="2"/>
      <c r="AM273" s="2"/>
      <c r="AN273" s="2"/>
      <c r="AO273" s="2"/>
    </row>
    <row r="274" spans="1:41" ht="13.5">
      <c r="A274" s="2"/>
      <c r="B274" s="2"/>
      <c r="C274" s="2"/>
      <c r="D274" s="2"/>
      <c r="E274" s="2"/>
      <c r="F274" s="2"/>
      <c r="G274" s="2"/>
      <c r="H274" s="40"/>
      <c r="I274" s="2"/>
      <c r="J274" s="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2"/>
      <c r="AJ274" s="2"/>
      <c r="AK274" s="2"/>
      <c r="AL274" s="2"/>
      <c r="AM274" s="2"/>
      <c r="AN274" s="2"/>
      <c r="AO274" s="2"/>
    </row>
    <row r="275" spans="1:41" ht="13.5">
      <c r="A275" s="2"/>
      <c r="B275" s="2"/>
      <c r="C275" s="2"/>
      <c r="D275" s="2"/>
      <c r="E275" s="2"/>
      <c r="F275" s="2"/>
      <c r="G275" s="2"/>
      <c r="H275" s="40"/>
      <c r="I275" s="2"/>
      <c r="J275" s="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2"/>
      <c r="AJ275" s="2"/>
      <c r="AK275" s="2"/>
      <c r="AL275" s="2"/>
      <c r="AM275" s="2"/>
      <c r="AN275" s="2"/>
      <c r="AO275" s="2"/>
    </row>
    <row r="276" spans="1:41" ht="13.5">
      <c r="A276" s="2"/>
      <c r="B276" s="2"/>
      <c r="C276" s="2"/>
      <c r="D276" s="2"/>
      <c r="E276" s="2"/>
      <c r="F276" s="2"/>
      <c r="G276" s="2"/>
      <c r="H276" s="40"/>
      <c r="I276" s="2"/>
      <c r="J276" s="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2"/>
      <c r="AJ276" s="2"/>
      <c r="AK276" s="2"/>
      <c r="AL276" s="2"/>
      <c r="AM276" s="2"/>
      <c r="AN276" s="2"/>
      <c r="AO276" s="2"/>
    </row>
    <row r="277" spans="1:41" ht="13.5">
      <c r="A277" s="2"/>
      <c r="B277" s="2"/>
      <c r="C277" s="2"/>
      <c r="D277" s="2"/>
      <c r="E277" s="2"/>
      <c r="F277" s="2"/>
      <c r="G277" s="2"/>
      <c r="H277" s="40"/>
      <c r="I277" s="2"/>
      <c r="J277" s="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2"/>
      <c r="AJ277" s="2"/>
      <c r="AK277" s="2"/>
      <c r="AL277" s="2"/>
      <c r="AM277" s="2"/>
      <c r="AN277" s="2"/>
      <c r="AO277" s="2"/>
    </row>
    <row r="278" spans="1:41" ht="13.5">
      <c r="A278" s="2"/>
      <c r="B278" s="2"/>
      <c r="C278" s="2"/>
      <c r="D278" s="2"/>
      <c r="E278" s="2"/>
      <c r="F278" s="2"/>
      <c r="G278" s="2"/>
      <c r="H278" s="40"/>
      <c r="I278" s="2"/>
      <c r="J278" s="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2"/>
      <c r="AJ278" s="2"/>
      <c r="AK278" s="2"/>
      <c r="AL278" s="2"/>
      <c r="AM278" s="2"/>
      <c r="AN278" s="2"/>
      <c r="AO278" s="2"/>
    </row>
    <row r="279" spans="1:41" ht="13.5">
      <c r="A279" s="2"/>
      <c r="B279" s="2"/>
      <c r="C279" s="2"/>
      <c r="D279" s="2"/>
      <c r="E279" s="2"/>
      <c r="F279" s="2"/>
      <c r="G279" s="2"/>
      <c r="H279" s="40"/>
      <c r="I279" s="2"/>
      <c r="J279" s="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2"/>
      <c r="AJ279" s="2"/>
      <c r="AK279" s="2"/>
      <c r="AL279" s="2"/>
      <c r="AM279" s="2"/>
      <c r="AN279" s="2"/>
      <c r="AO279" s="2"/>
    </row>
    <row r="280" spans="1:41" ht="13.5">
      <c r="A280" s="2"/>
      <c r="B280" s="2"/>
      <c r="C280" s="2"/>
      <c r="D280" s="2"/>
      <c r="E280" s="2"/>
      <c r="F280" s="2"/>
      <c r="G280" s="2"/>
      <c r="H280" s="40"/>
      <c r="I280" s="2"/>
      <c r="J280" s="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2"/>
      <c r="AJ280" s="2"/>
      <c r="AK280" s="2"/>
      <c r="AL280" s="2"/>
      <c r="AM280" s="2"/>
      <c r="AN280" s="2"/>
      <c r="AO280" s="2"/>
    </row>
    <row r="281" spans="1:41" ht="13.5">
      <c r="A281" s="2"/>
      <c r="B281" s="2"/>
      <c r="C281" s="2"/>
      <c r="D281" s="2"/>
      <c r="E281" s="2"/>
      <c r="F281" s="2"/>
      <c r="G281" s="2"/>
      <c r="H281" s="40"/>
      <c r="I281" s="2"/>
      <c r="J281" s="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2"/>
      <c r="AJ281" s="2"/>
      <c r="AK281" s="2"/>
      <c r="AL281" s="2"/>
      <c r="AM281" s="2"/>
      <c r="AN281" s="2"/>
      <c r="AO281" s="2"/>
    </row>
    <row r="282" spans="1:41" ht="13.5">
      <c r="A282" s="2"/>
      <c r="B282" s="2"/>
      <c r="C282" s="2"/>
      <c r="D282" s="2"/>
      <c r="E282" s="2"/>
      <c r="F282" s="2"/>
      <c r="G282" s="2"/>
      <c r="H282" s="40"/>
      <c r="I282" s="2"/>
      <c r="J282" s="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2"/>
      <c r="AJ282" s="2"/>
      <c r="AK282" s="2"/>
      <c r="AL282" s="2"/>
      <c r="AM282" s="2"/>
      <c r="AN282" s="2"/>
      <c r="AO282" s="2"/>
    </row>
    <row r="283" spans="1:41" ht="13.5">
      <c r="A283" s="2"/>
      <c r="B283" s="2"/>
      <c r="C283" s="2"/>
      <c r="D283" s="2"/>
      <c r="E283" s="2"/>
      <c r="F283" s="2"/>
      <c r="G283" s="2"/>
      <c r="H283" s="40"/>
      <c r="I283" s="2"/>
      <c r="J283" s="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2"/>
      <c r="AJ283" s="2"/>
      <c r="AK283" s="2"/>
      <c r="AL283" s="2"/>
      <c r="AM283" s="2"/>
      <c r="AN283" s="2"/>
      <c r="AO283" s="2"/>
    </row>
    <row r="284" spans="1:41" ht="13.5">
      <c r="A284" s="2"/>
      <c r="B284" s="2"/>
      <c r="C284" s="2"/>
      <c r="D284" s="2"/>
      <c r="E284" s="2"/>
      <c r="F284" s="2"/>
      <c r="G284" s="2"/>
      <c r="H284" s="40"/>
      <c r="I284" s="2"/>
      <c r="J284" s="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2"/>
      <c r="AJ284" s="2"/>
      <c r="AK284" s="2"/>
      <c r="AL284" s="2"/>
      <c r="AM284" s="2"/>
      <c r="AN284" s="2"/>
      <c r="AO284" s="2"/>
    </row>
    <row r="285" spans="1:41" ht="13.5">
      <c r="A285" s="2"/>
      <c r="B285" s="2"/>
      <c r="C285" s="2"/>
      <c r="D285" s="2"/>
      <c r="E285" s="2"/>
      <c r="F285" s="2"/>
      <c r="G285" s="2"/>
      <c r="H285" s="40"/>
      <c r="I285" s="2"/>
      <c r="J285" s="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2"/>
      <c r="AJ285" s="2"/>
      <c r="AK285" s="2"/>
      <c r="AL285" s="2"/>
      <c r="AM285" s="2"/>
      <c r="AN285" s="2"/>
      <c r="AO285" s="2"/>
    </row>
    <row r="286" spans="1:41" ht="13.5">
      <c r="A286" s="2"/>
      <c r="B286" s="2"/>
      <c r="C286" s="2"/>
      <c r="D286" s="2"/>
      <c r="E286" s="2"/>
      <c r="F286" s="2"/>
      <c r="G286" s="2"/>
      <c r="H286" s="40"/>
      <c r="I286" s="2"/>
      <c r="J286" s="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2"/>
      <c r="AJ286" s="2"/>
      <c r="AK286" s="2"/>
      <c r="AL286" s="2"/>
      <c r="AM286" s="2"/>
      <c r="AN286" s="2"/>
      <c r="AO286" s="2"/>
    </row>
    <row r="287" spans="1:41" ht="13.5">
      <c r="A287" s="2"/>
      <c r="B287" s="2"/>
      <c r="C287" s="2"/>
      <c r="D287" s="2"/>
      <c r="E287" s="2"/>
      <c r="F287" s="2"/>
      <c r="G287" s="2"/>
      <c r="H287" s="40"/>
      <c r="I287" s="2"/>
      <c r="J287" s="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2"/>
      <c r="AJ287" s="2"/>
      <c r="AK287" s="2"/>
      <c r="AL287" s="2"/>
      <c r="AM287" s="2"/>
      <c r="AN287" s="2"/>
      <c r="AO287" s="2"/>
    </row>
    <row r="288" spans="1:41" ht="13.5">
      <c r="A288" s="2"/>
      <c r="B288" s="2"/>
      <c r="C288" s="2"/>
      <c r="D288" s="2"/>
      <c r="E288" s="2"/>
      <c r="F288" s="2"/>
      <c r="G288" s="2"/>
      <c r="H288" s="40"/>
      <c r="I288" s="2"/>
      <c r="J288" s="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2"/>
      <c r="AJ288" s="2"/>
      <c r="AK288" s="2"/>
      <c r="AL288" s="2"/>
      <c r="AM288" s="2"/>
      <c r="AN288" s="2"/>
      <c r="AO288" s="2"/>
    </row>
    <row r="289" spans="1:41" ht="13.5">
      <c r="A289" s="2"/>
      <c r="B289" s="2"/>
      <c r="C289" s="2"/>
      <c r="D289" s="2"/>
      <c r="E289" s="2"/>
      <c r="F289" s="2"/>
      <c r="G289" s="2"/>
      <c r="H289" s="40"/>
      <c r="I289" s="2"/>
      <c r="J289" s="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2"/>
      <c r="AJ289" s="2"/>
      <c r="AK289" s="2"/>
      <c r="AL289" s="2"/>
      <c r="AM289" s="2"/>
      <c r="AN289" s="2"/>
      <c r="AO289" s="2"/>
    </row>
    <row r="290" spans="1:41" ht="13.5">
      <c r="A290" s="2"/>
      <c r="B290" s="2"/>
      <c r="C290" s="2"/>
      <c r="D290" s="2"/>
      <c r="E290" s="2"/>
      <c r="F290" s="2"/>
      <c r="G290" s="2"/>
      <c r="H290" s="40"/>
      <c r="I290" s="2"/>
      <c r="J290" s="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2"/>
      <c r="AJ290" s="2"/>
      <c r="AK290" s="2"/>
      <c r="AL290" s="2"/>
      <c r="AM290" s="2"/>
      <c r="AN290" s="2"/>
      <c r="AO290" s="2"/>
    </row>
    <row r="291" spans="1:41" ht="13.5">
      <c r="A291" s="2"/>
      <c r="B291" s="2"/>
      <c r="C291" s="2"/>
      <c r="D291" s="2"/>
      <c r="E291" s="2"/>
      <c r="F291" s="2"/>
      <c r="G291" s="2"/>
      <c r="H291" s="40"/>
      <c r="I291" s="2"/>
      <c r="J291" s="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2"/>
      <c r="AJ291" s="2"/>
      <c r="AK291" s="2"/>
      <c r="AL291" s="2"/>
      <c r="AM291" s="2"/>
      <c r="AN291" s="2"/>
      <c r="AO291" s="2"/>
    </row>
    <row r="292" spans="1:41" ht="13.5">
      <c r="A292" s="2"/>
      <c r="B292" s="2"/>
      <c r="C292" s="2"/>
      <c r="D292" s="2"/>
      <c r="E292" s="2"/>
      <c r="F292" s="2"/>
      <c r="G292" s="2"/>
      <c r="H292" s="40"/>
      <c r="I292" s="2"/>
      <c r="J292" s="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2"/>
      <c r="AJ292" s="2"/>
      <c r="AK292" s="2"/>
      <c r="AL292" s="2"/>
      <c r="AM292" s="2"/>
      <c r="AN292" s="2"/>
      <c r="AO292" s="2"/>
    </row>
    <row r="293" spans="1:41" ht="13.5">
      <c r="A293" s="2"/>
      <c r="B293" s="2"/>
      <c r="C293" s="2"/>
      <c r="D293" s="2"/>
      <c r="E293" s="2"/>
      <c r="F293" s="2"/>
      <c r="G293" s="2"/>
      <c r="H293" s="40"/>
      <c r="I293" s="2"/>
      <c r="J293" s="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2"/>
      <c r="AJ293" s="2"/>
      <c r="AK293" s="2"/>
      <c r="AL293" s="2"/>
      <c r="AM293" s="2"/>
      <c r="AN293" s="2"/>
      <c r="AO293" s="2"/>
    </row>
    <row r="294" spans="1:41" ht="13.5">
      <c r="A294" s="2"/>
      <c r="B294" s="2"/>
      <c r="C294" s="2"/>
      <c r="D294" s="2"/>
      <c r="E294" s="2"/>
      <c r="F294" s="2"/>
      <c r="G294" s="2"/>
      <c r="H294" s="40"/>
      <c r="I294" s="2"/>
      <c r="J294" s="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2"/>
      <c r="AJ294" s="2"/>
      <c r="AK294" s="2"/>
      <c r="AL294" s="2"/>
      <c r="AM294" s="2"/>
      <c r="AN294" s="2"/>
      <c r="AO294" s="2"/>
    </row>
    <row r="295" spans="1:41" ht="13.5">
      <c r="A295" s="2"/>
      <c r="B295" s="2"/>
      <c r="C295" s="2"/>
      <c r="D295" s="2"/>
      <c r="E295" s="2"/>
      <c r="F295" s="2"/>
      <c r="G295" s="2"/>
      <c r="H295" s="40"/>
      <c r="I295" s="2"/>
      <c r="J295" s="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2"/>
      <c r="AJ295" s="2"/>
      <c r="AK295" s="2"/>
      <c r="AL295" s="2"/>
      <c r="AM295" s="2"/>
      <c r="AN295" s="2"/>
      <c r="AO295" s="2"/>
    </row>
    <row r="296" spans="1:41" ht="13.5">
      <c r="A296" s="2"/>
      <c r="B296" s="2"/>
      <c r="C296" s="2"/>
      <c r="D296" s="2"/>
      <c r="E296" s="2"/>
      <c r="F296" s="2"/>
      <c r="G296" s="2"/>
      <c r="H296" s="40"/>
      <c r="I296" s="2"/>
      <c r="J296" s="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2"/>
      <c r="AJ296" s="2"/>
      <c r="AK296" s="2"/>
      <c r="AL296" s="2"/>
      <c r="AM296" s="2"/>
      <c r="AN296" s="2"/>
      <c r="AO296" s="2"/>
    </row>
    <row r="297" spans="1:41" ht="13.5">
      <c r="A297" s="2"/>
      <c r="B297" s="2"/>
      <c r="C297" s="2"/>
      <c r="D297" s="2"/>
      <c r="E297" s="2"/>
      <c r="F297" s="2"/>
      <c r="G297" s="2"/>
      <c r="H297" s="40"/>
      <c r="I297" s="2"/>
      <c r="J297" s="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2"/>
      <c r="AJ297" s="2"/>
      <c r="AK297" s="2"/>
      <c r="AL297" s="2"/>
      <c r="AM297" s="2"/>
      <c r="AN297" s="2"/>
      <c r="AO297" s="2"/>
    </row>
    <row r="298" spans="1:41" ht="13.5">
      <c r="A298" s="2"/>
      <c r="B298" s="2"/>
      <c r="C298" s="2"/>
      <c r="D298" s="2"/>
      <c r="E298" s="2"/>
      <c r="F298" s="2"/>
      <c r="G298" s="2"/>
      <c r="H298" s="40"/>
      <c r="I298" s="2"/>
      <c r="J298" s="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2"/>
      <c r="AJ298" s="2"/>
      <c r="AK298" s="2"/>
      <c r="AL298" s="2"/>
      <c r="AM298" s="2"/>
      <c r="AN298" s="2"/>
      <c r="AO298" s="2"/>
    </row>
    <row r="299" spans="1:41" ht="13.5">
      <c r="A299" s="2"/>
      <c r="B299" s="2"/>
      <c r="C299" s="2"/>
      <c r="D299" s="2"/>
      <c r="E299" s="2"/>
      <c r="F299" s="2"/>
      <c r="G299" s="2"/>
      <c r="H299" s="40"/>
      <c r="I299" s="2"/>
      <c r="J299" s="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2"/>
      <c r="AJ299" s="2"/>
      <c r="AK299" s="2"/>
      <c r="AL299" s="2"/>
      <c r="AM299" s="2"/>
      <c r="AN299" s="2"/>
      <c r="AO299" s="2"/>
    </row>
    <row r="300" spans="1:41" ht="13.5">
      <c r="A300" s="2"/>
      <c r="B300" s="2"/>
      <c r="C300" s="2"/>
      <c r="D300" s="2"/>
      <c r="E300" s="2"/>
      <c r="F300" s="2"/>
      <c r="G300" s="2"/>
      <c r="H300" s="40"/>
      <c r="I300" s="2"/>
      <c r="J300" s="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2"/>
      <c r="AJ300" s="2"/>
      <c r="AK300" s="2"/>
      <c r="AL300" s="2"/>
      <c r="AM300" s="2"/>
      <c r="AN300" s="2"/>
      <c r="AO300" s="2"/>
    </row>
    <row r="301" spans="1:41" ht="13.5">
      <c r="A301" s="2"/>
      <c r="B301" s="2"/>
      <c r="C301" s="2"/>
      <c r="D301" s="2"/>
      <c r="E301" s="2"/>
      <c r="F301" s="2"/>
      <c r="G301" s="2"/>
      <c r="H301" s="40"/>
      <c r="I301" s="2"/>
      <c r="J301" s="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2"/>
      <c r="AJ301" s="2"/>
      <c r="AK301" s="2"/>
      <c r="AL301" s="2"/>
      <c r="AM301" s="2"/>
      <c r="AN301" s="2"/>
      <c r="AO301" s="2"/>
    </row>
    <row r="302" spans="1:41" ht="13.5">
      <c r="A302" s="2"/>
      <c r="B302" s="2"/>
      <c r="C302" s="2"/>
      <c r="D302" s="2"/>
      <c r="E302" s="2"/>
      <c r="F302" s="2"/>
      <c r="G302" s="2"/>
      <c r="H302" s="40"/>
      <c r="I302" s="2"/>
      <c r="J302" s="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2"/>
      <c r="AJ302" s="2"/>
      <c r="AK302" s="2"/>
      <c r="AL302" s="2"/>
      <c r="AM302" s="2"/>
      <c r="AN302" s="2"/>
      <c r="AO302" s="2"/>
    </row>
    <row r="303" spans="1:41" ht="13.5">
      <c r="A303" s="2"/>
      <c r="B303" s="2"/>
      <c r="C303" s="2"/>
      <c r="D303" s="2"/>
      <c r="E303" s="2"/>
      <c r="F303" s="2"/>
      <c r="G303" s="2"/>
      <c r="H303" s="40"/>
      <c r="I303" s="2"/>
      <c r="J303" s="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2"/>
      <c r="AJ303" s="2"/>
      <c r="AK303" s="2"/>
      <c r="AL303" s="2"/>
      <c r="AM303" s="2"/>
      <c r="AN303" s="2"/>
      <c r="AO303" s="2"/>
    </row>
    <row r="304" spans="1:41" ht="13.5">
      <c r="A304" s="2"/>
      <c r="B304" s="2"/>
      <c r="C304" s="2"/>
      <c r="D304" s="2"/>
      <c r="E304" s="2"/>
      <c r="F304" s="2"/>
      <c r="G304" s="2"/>
      <c r="H304" s="40"/>
      <c r="I304" s="2"/>
      <c r="J304" s="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2"/>
      <c r="AJ304" s="2"/>
      <c r="AK304" s="2"/>
      <c r="AL304" s="2"/>
      <c r="AM304" s="2"/>
      <c r="AN304" s="2"/>
      <c r="AO304" s="2"/>
    </row>
    <row r="305" spans="1:41" ht="13.5">
      <c r="A305" s="2"/>
      <c r="B305" s="2"/>
      <c r="C305" s="2"/>
      <c r="D305" s="2"/>
      <c r="E305" s="2"/>
      <c r="F305" s="2"/>
      <c r="G305" s="2"/>
      <c r="H305" s="40"/>
      <c r="I305" s="2"/>
      <c r="J305" s="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2"/>
      <c r="AJ305" s="2"/>
      <c r="AK305" s="2"/>
      <c r="AL305" s="2"/>
      <c r="AM305" s="2"/>
      <c r="AN305" s="2"/>
      <c r="AO305" s="2"/>
    </row>
    <row r="306" spans="1:41" ht="13.5">
      <c r="A306" s="2"/>
      <c r="B306" s="2"/>
      <c r="C306" s="2"/>
      <c r="D306" s="2"/>
      <c r="E306" s="2"/>
      <c r="F306" s="2"/>
      <c r="G306" s="2"/>
      <c r="H306" s="40"/>
      <c r="I306" s="2"/>
      <c r="J306" s="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2"/>
      <c r="AJ306" s="2"/>
      <c r="AK306" s="2"/>
      <c r="AL306" s="2"/>
      <c r="AM306" s="2"/>
      <c r="AN306" s="2"/>
      <c r="AO306" s="2"/>
    </row>
    <row r="307" spans="1:41" ht="13.5">
      <c r="A307" s="2"/>
      <c r="B307" s="2"/>
      <c r="C307" s="2"/>
      <c r="D307" s="2"/>
      <c r="E307" s="2"/>
      <c r="F307" s="2"/>
      <c r="G307" s="2"/>
      <c r="H307" s="40"/>
      <c r="I307" s="2"/>
      <c r="J307" s="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2"/>
      <c r="AJ307" s="2"/>
      <c r="AK307" s="2"/>
      <c r="AL307" s="2"/>
      <c r="AM307" s="2"/>
      <c r="AN307" s="2"/>
      <c r="AO307" s="2"/>
    </row>
    <row r="308" spans="1:41" ht="13.5">
      <c r="A308" s="2"/>
      <c r="B308" s="2"/>
      <c r="C308" s="2"/>
      <c r="D308" s="2"/>
      <c r="E308" s="2"/>
      <c r="F308" s="2"/>
      <c r="G308" s="2"/>
      <c r="H308" s="40"/>
      <c r="I308" s="2"/>
      <c r="J308" s="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2"/>
      <c r="AJ308" s="2"/>
      <c r="AK308" s="2"/>
      <c r="AL308" s="2"/>
      <c r="AM308" s="2"/>
      <c r="AN308" s="2"/>
      <c r="AO308" s="2"/>
    </row>
    <row r="309" spans="1:41" ht="13.5">
      <c r="A309" s="2"/>
      <c r="B309" s="2"/>
      <c r="C309" s="2"/>
      <c r="D309" s="2"/>
      <c r="E309" s="2"/>
      <c r="F309" s="2"/>
      <c r="G309" s="2"/>
      <c r="H309" s="40"/>
      <c r="I309" s="2"/>
      <c r="J309" s="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2"/>
      <c r="AJ309" s="2"/>
      <c r="AK309" s="2"/>
      <c r="AL309" s="2"/>
      <c r="AM309" s="2"/>
      <c r="AN309" s="2"/>
      <c r="AO309" s="2"/>
    </row>
    <row r="310" spans="1:41" ht="13.5">
      <c r="A310" s="2"/>
      <c r="B310" s="2"/>
      <c r="C310" s="2"/>
      <c r="D310" s="2"/>
      <c r="E310" s="2"/>
      <c r="F310" s="2"/>
      <c r="G310" s="2"/>
      <c r="H310" s="40"/>
      <c r="I310" s="2"/>
      <c r="J310" s="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2"/>
      <c r="AJ310" s="2"/>
      <c r="AK310" s="2"/>
      <c r="AL310" s="2"/>
      <c r="AM310" s="2"/>
      <c r="AN310" s="2"/>
      <c r="AO310" s="2"/>
    </row>
    <row r="311" spans="1:41" ht="13.5">
      <c r="A311" s="2"/>
      <c r="B311" s="2"/>
      <c r="C311" s="2"/>
      <c r="D311" s="2"/>
      <c r="E311" s="2"/>
      <c r="F311" s="2"/>
      <c r="G311" s="2"/>
      <c r="H311" s="40"/>
      <c r="I311" s="2"/>
      <c r="J311" s="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2"/>
      <c r="AJ311" s="2"/>
      <c r="AK311" s="2"/>
      <c r="AL311" s="2"/>
      <c r="AM311" s="2"/>
      <c r="AN311" s="2"/>
      <c r="AO311" s="2"/>
    </row>
    <row r="312" spans="1:41" ht="13.5">
      <c r="A312" s="2"/>
      <c r="B312" s="2"/>
      <c r="C312" s="2"/>
      <c r="D312" s="2"/>
      <c r="E312" s="2"/>
      <c r="F312" s="2"/>
      <c r="G312" s="2"/>
      <c r="H312" s="40"/>
      <c r="I312" s="2"/>
      <c r="J312" s="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2"/>
      <c r="AJ312" s="2"/>
      <c r="AK312" s="2"/>
      <c r="AL312" s="2"/>
      <c r="AM312" s="2"/>
      <c r="AN312" s="2"/>
      <c r="AO312" s="2"/>
    </row>
    <row r="313" spans="1:41" ht="13.5">
      <c r="A313" s="2"/>
      <c r="B313" s="2"/>
      <c r="C313" s="2"/>
      <c r="D313" s="2"/>
      <c r="E313" s="2"/>
      <c r="F313" s="2"/>
      <c r="G313" s="2"/>
      <c r="H313" s="40"/>
      <c r="I313" s="2"/>
      <c r="J313" s="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2"/>
      <c r="AJ313" s="2"/>
      <c r="AK313" s="2"/>
      <c r="AL313" s="2"/>
      <c r="AM313" s="2"/>
      <c r="AN313" s="2"/>
      <c r="AO313" s="2"/>
    </row>
    <row r="314" spans="1:41" ht="13.5">
      <c r="A314" s="2"/>
      <c r="B314" s="2"/>
      <c r="C314" s="2"/>
      <c r="D314" s="2"/>
      <c r="E314" s="2"/>
      <c r="F314" s="2"/>
      <c r="G314" s="2"/>
      <c r="H314" s="40"/>
      <c r="I314" s="2"/>
      <c r="J314" s="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2"/>
      <c r="AJ314" s="2"/>
      <c r="AK314" s="2"/>
      <c r="AL314" s="2"/>
      <c r="AM314" s="2"/>
      <c r="AN314" s="2"/>
      <c r="AO314" s="2"/>
    </row>
    <row r="315" spans="1:41" ht="13.5">
      <c r="A315" s="2"/>
      <c r="B315" s="2"/>
      <c r="C315" s="2"/>
      <c r="D315" s="2"/>
      <c r="E315" s="2"/>
      <c r="F315" s="2"/>
      <c r="G315" s="2"/>
      <c r="H315" s="40"/>
      <c r="I315" s="2"/>
      <c r="J315" s="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2"/>
      <c r="AJ315" s="2"/>
      <c r="AK315" s="2"/>
      <c r="AL315" s="2"/>
      <c r="AM315" s="2"/>
      <c r="AN315" s="2"/>
      <c r="AO315" s="2"/>
    </row>
    <row r="316" spans="1:41" ht="13.5">
      <c r="A316" s="2"/>
      <c r="B316" s="2"/>
      <c r="C316" s="2"/>
      <c r="D316" s="2"/>
      <c r="E316" s="2"/>
      <c r="F316" s="2"/>
      <c r="G316" s="2"/>
      <c r="H316" s="40"/>
      <c r="I316" s="2"/>
      <c r="J316" s="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2"/>
      <c r="AJ316" s="2"/>
      <c r="AK316" s="2"/>
      <c r="AL316" s="2"/>
      <c r="AM316" s="2"/>
      <c r="AN316" s="2"/>
      <c r="AO316" s="2"/>
    </row>
    <row r="317" spans="1:41" ht="13.5">
      <c r="A317" s="2"/>
      <c r="B317" s="2"/>
      <c r="C317" s="2"/>
      <c r="D317" s="2"/>
      <c r="E317" s="2"/>
      <c r="F317" s="2"/>
      <c r="G317" s="2"/>
      <c r="H317" s="40"/>
      <c r="I317" s="2"/>
      <c r="J317" s="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2"/>
      <c r="AJ317" s="2"/>
      <c r="AK317" s="2"/>
      <c r="AL317" s="2"/>
      <c r="AM317" s="2"/>
      <c r="AN317" s="2"/>
      <c r="AO317" s="2"/>
    </row>
    <row r="318" spans="1:41" ht="13.5">
      <c r="A318" s="2"/>
      <c r="B318" s="2"/>
      <c r="C318" s="2"/>
      <c r="D318" s="2"/>
      <c r="E318" s="2"/>
      <c r="F318" s="2"/>
      <c r="G318" s="2"/>
      <c r="H318" s="40"/>
      <c r="I318" s="2"/>
      <c r="J318" s="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2"/>
      <c r="AJ318" s="2"/>
      <c r="AK318" s="2"/>
      <c r="AL318" s="2"/>
      <c r="AM318" s="2"/>
      <c r="AN318" s="2"/>
      <c r="AO318" s="2"/>
    </row>
    <row r="319" spans="1:41" ht="13.5">
      <c r="A319" s="2"/>
      <c r="B319" s="2"/>
      <c r="C319" s="2"/>
      <c r="D319" s="2"/>
      <c r="E319" s="2"/>
      <c r="F319" s="2"/>
      <c r="G319" s="2"/>
      <c r="H319" s="40"/>
      <c r="I319" s="2"/>
      <c r="J319" s="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2"/>
      <c r="AJ319" s="2"/>
      <c r="AK319" s="2"/>
      <c r="AL319" s="2"/>
      <c r="AM319" s="2"/>
      <c r="AN319" s="2"/>
      <c r="AO319" s="2"/>
    </row>
    <row r="320" spans="1:41" ht="13.5">
      <c r="A320" s="2"/>
      <c r="B320" s="2"/>
      <c r="C320" s="2"/>
      <c r="D320" s="2"/>
      <c r="E320" s="2"/>
      <c r="F320" s="2"/>
      <c r="G320" s="2"/>
      <c r="H320" s="40"/>
      <c r="I320" s="2"/>
      <c r="J320" s="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2"/>
      <c r="AJ320" s="2"/>
      <c r="AK320" s="2"/>
      <c r="AL320" s="2"/>
      <c r="AM320" s="2"/>
      <c r="AN320" s="2"/>
      <c r="AO320" s="2"/>
    </row>
    <row r="321" spans="1:41" ht="13.5">
      <c r="A321" s="2"/>
      <c r="B321" s="2"/>
      <c r="C321" s="2"/>
      <c r="D321" s="2"/>
      <c r="E321" s="2"/>
      <c r="F321" s="2"/>
      <c r="G321" s="2"/>
      <c r="H321" s="40"/>
      <c r="I321" s="2"/>
      <c r="J321" s="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2"/>
      <c r="AJ321" s="2"/>
      <c r="AK321" s="2"/>
      <c r="AL321" s="2"/>
      <c r="AM321" s="2"/>
      <c r="AN321" s="2"/>
      <c r="AO321" s="2"/>
    </row>
    <row r="322" spans="1:41" ht="13.5">
      <c r="A322" s="2"/>
      <c r="B322" s="2"/>
      <c r="C322" s="2"/>
      <c r="D322" s="2"/>
      <c r="E322" s="2"/>
      <c r="F322" s="2"/>
      <c r="G322" s="2"/>
      <c r="H322" s="40"/>
      <c r="I322" s="2"/>
      <c r="J322" s="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2"/>
      <c r="AJ322" s="2"/>
      <c r="AK322" s="2"/>
      <c r="AL322" s="2"/>
      <c r="AM322" s="2"/>
      <c r="AN322" s="2"/>
      <c r="AO322" s="2"/>
    </row>
    <row r="323" spans="1:41" ht="13.5">
      <c r="A323" s="2"/>
      <c r="B323" s="2"/>
      <c r="C323" s="2"/>
      <c r="D323" s="2"/>
      <c r="E323" s="2"/>
      <c r="F323" s="2"/>
      <c r="G323" s="2"/>
      <c r="H323" s="40"/>
      <c r="I323" s="2"/>
      <c r="J323" s="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2"/>
      <c r="AJ323" s="2"/>
      <c r="AK323" s="2"/>
      <c r="AL323" s="2"/>
      <c r="AM323" s="2"/>
      <c r="AN323" s="2"/>
      <c r="AO323" s="2"/>
    </row>
    <row r="324" spans="1:41" ht="13.5">
      <c r="A324" s="2"/>
      <c r="B324" s="2"/>
      <c r="C324" s="2"/>
      <c r="D324" s="2"/>
      <c r="E324" s="2"/>
      <c r="F324" s="2"/>
      <c r="G324" s="2"/>
      <c r="H324" s="40"/>
      <c r="I324" s="2"/>
      <c r="J324" s="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2"/>
      <c r="AJ324" s="2"/>
      <c r="AK324" s="2"/>
      <c r="AL324" s="2"/>
      <c r="AM324" s="2"/>
      <c r="AN324" s="2"/>
      <c r="AO324" s="2"/>
    </row>
    <row r="325" spans="1:41" ht="13.5">
      <c r="A325" s="2"/>
      <c r="B325" s="2"/>
      <c r="C325" s="2"/>
      <c r="D325" s="2"/>
      <c r="E325" s="2"/>
      <c r="F325" s="2"/>
      <c r="G325" s="2"/>
      <c r="H325" s="40"/>
      <c r="I325" s="2"/>
      <c r="J325" s="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2"/>
      <c r="AJ325" s="2"/>
      <c r="AK325" s="2"/>
      <c r="AL325" s="2"/>
      <c r="AM325" s="2"/>
      <c r="AN325" s="2"/>
      <c r="AO325" s="2"/>
    </row>
    <row r="326" spans="1:41" ht="13.5">
      <c r="A326" s="2"/>
      <c r="B326" s="2"/>
      <c r="C326" s="2"/>
      <c r="D326" s="2"/>
      <c r="E326" s="2"/>
      <c r="F326" s="2"/>
      <c r="G326" s="2"/>
      <c r="H326" s="40"/>
      <c r="I326" s="2"/>
      <c r="J326" s="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2"/>
      <c r="AJ326" s="2"/>
      <c r="AK326" s="2"/>
      <c r="AL326" s="2"/>
      <c r="AM326" s="2"/>
      <c r="AN326" s="2"/>
      <c r="AO326" s="2"/>
    </row>
    <row r="327" spans="1:41" ht="13.5">
      <c r="A327" s="2"/>
      <c r="B327" s="2"/>
      <c r="C327" s="2"/>
      <c r="D327" s="2"/>
      <c r="E327" s="2"/>
      <c r="F327" s="2"/>
      <c r="G327" s="2"/>
      <c r="H327" s="40"/>
      <c r="I327" s="2"/>
      <c r="J327" s="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2"/>
      <c r="AJ327" s="2"/>
      <c r="AK327" s="2"/>
      <c r="AL327" s="2"/>
      <c r="AM327" s="2"/>
      <c r="AN327" s="2"/>
      <c r="AO327" s="2"/>
    </row>
    <row r="328" spans="1:41" ht="13.5">
      <c r="A328" s="2"/>
      <c r="B328" s="2"/>
      <c r="C328" s="2"/>
      <c r="D328" s="2"/>
      <c r="E328" s="2"/>
      <c r="F328" s="2"/>
      <c r="G328" s="2"/>
      <c r="H328" s="40"/>
      <c r="I328" s="2"/>
      <c r="J328" s="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2"/>
      <c r="AJ328" s="2"/>
      <c r="AK328" s="2"/>
      <c r="AL328" s="2"/>
      <c r="AM328" s="2"/>
      <c r="AN328" s="2"/>
      <c r="AO328" s="2"/>
    </row>
    <row r="329" spans="1:41" ht="13.5">
      <c r="A329" s="2"/>
      <c r="B329" s="2"/>
      <c r="C329" s="2"/>
      <c r="D329" s="2"/>
      <c r="E329" s="2"/>
      <c r="F329" s="2"/>
      <c r="G329" s="2"/>
      <c r="H329" s="40"/>
      <c r="I329" s="2"/>
      <c r="J329" s="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2"/>
      <c r="AJ329" s="2"/>
      <c r="AK329" s="2"/>
      <c r="AL329" s="2"/>
      <c r="AM329" s="2"/>
      <c r="AN329" s="2"/>
      <c r="AO329" s="2"/>
    </row>
    <row r="330" spans="1:41" ht="13.5">
      <c r="A330" s="2"/>
      <c r="B330" s="2"/>
      <c r="C330" s="2"/>
      <c r="D330" s="2"/>
      <c r="E330" s="2"/>
      <c r="F330" s="2"/>
      <c r="G330" s="2"/>
      <c r="H330" s="40"/>
      <c r="I330" s="2"/>
      <c r="J330" s="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2"/>
      <c r="AJ330" s="2"/>
      <c r="AK330" s="2"/>
      <c r="AL330" s="2"/>
      <c r="AM330" s="2"/>
      <c r="AN330" s="2"/>
      <c r="AO330" s="2"/>
    </row>
    <row r="331" spans="1:41" ht="13.5">
      <c r="A331" s="2"/>
      <c r="B331" s="2"/>
      <c r="C331" s="2"/>
      <c r="D331" s="2"/>
      <c r="E331" s="2"/>
      <c r="F331" s="2"/>
      <c r="G331" s="2"/>
      <c r="H331" s="40"/>
      <c r="I331" s="2"/>
      <c r="J331" s="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2"/>
      <c r="AJ331" s="2"/>
      <c r="AK331" s="2"/>
      <c r="AL331" s="2"/>
      <c r="AM331" s="2"/>
      <c r="AN331" s="2"/>
      <c r="AO331" s="2"/>
    </row>
    <row r="332" spans="1:41" ht="13.5">
      <c r="A332" s="2"/>
      <c r="B332" s="2"/>
      <c r="C332" s="2"/>
      <c r="D332" s="2"/>
      <c r="E332" s="2"/>
      <c r="F332" s="2"/>
      <c r="G332" s="2"/>
      <c r="H332" s="40"/>
      <c r="I332" s="2"/>
      <c r="J332" s="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2"/>
      <c r="AJ332" s="2"/>
      <c r="AK332" s="2"/>
      <c r="AL332" s="2"/>
      <c r="AM332" s="2"/>
      <c r="AN332" s="2"/>
      <c r="AO332" s="2"/>
    </row>
    <row r="333" spans="1:41" ht="13.5">
      <c r="A333" s="2"/>
      <c r="B333" s="2"/>
      <c r="C333" s="2"/>
      <c r="D333" s="2"/>
      <c r="E333" s="2"/>
      <c r="F333" s="2"/>
      <c r="G333" s="2"/>
      <c r="H333" s="40"/>
      <c r="I333" s="2"/>
      <c r="J333" s="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2"/>
      <c r="AJ333" s="2"/>
      <c r="AK333" s="2"/>
      <c r="AL333" s="2"/>
      <c r="AM333" s="2"/>
      <c r="AN333" s="2"/>
      <c r="AO333" s="2"/>
    </row>
    <row r="334" spans="1:41" ht="13.5">
      <c r="A334" s="2"/>
      <c r="B334" s="2"/>
      <c r="C334" s="2"/>
      <c r="D334" s="2"/>
      <c r="E334" s="2"/>
      <c r="F334" s="2"/>
      <c r="G334" s="2"/>
      <c r="H334" s="40"/>
      <c r="I334" s="2"/>
      <c r="J334" s="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2"/>
      <c r="AJ334" s="2"/>
      <c r="AK334" s="2"/>
      <c r="AL334" s="2"/>
      <c r="AM334" s="2"/>
      <c r="AN334" s="2"/>
      <c r="AO334" s="2"/>
    </row>
    <row r="335" spans="1:41" ht="13.5">
      <c r="A335" s="2"/>
      <c r="B335" s="2"/>
      <c r="C335" s="2"/>
      <c r="D335" s="2"/>
      <c r="E335" s="2"/>
      <c r="F335" s="2"/>
      <c r="G335" s="2"/>
      <c r="H335" s="40"/>
      <c r="I335" s="2"/>
      <c r="J335" s="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2"/>
      <c r="AJ335" s="2"/>
      <c r="AK335" s="2"/>
      <c r="AL335" s="2"/>
      <c r="AM335" s="2"/>
      <c r="AN335" s="2"/>
      <c r="AO335" s="2"/>
    </row>
    <row r="336" spans="1:41" ht="13.5">
      <c r="A336" s="2"/>
      <c r="B336" s="2"/>
      <c r="C336" s="2"/>
      <c r="D336" s="2"/>
      <c r="E336" s="2"/>
      <c r="F336" s="2"/>
      <c r="G336" s="2"/>
      <c r="H336" s="40"/>
      <c r="I336" s="2"/>
      <c r="J336" s="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2"/>
      <c r="AJ336" s="2"/>
      <c r="AK336" s="2"/>
      <c r="AL336" s="2"/>
      <c r="AM336" s="2"/>
      <c r="AN336" s="2"/>
      <c r="AO336" s="2"/>
    </row>
    <row r="337" spans="1:41" ht="13.5">
      <c r="A337" s="2"/>
      <c r="B337" s="2"/>
      <c r="C337" s="2"/>
      <c r="D337" s="2"/>
      <c r="E337" s="2"/>
      <c r="F337" s="2"/>
      <c r="G337" s="2"/>
      <c r="H337" s="40"/>
      <c r="I337" s="2"/>
      <c r="J337" s="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2"/>
      <c r="AJ337" s="2"/>
      <c r="AK337" s="2"/>
      <c r="AL337" s="2"/>
      <c r="AM337" s="2"/>
      <c r="AN337" s="2"/>
      <c r="AO337" s="2"/>
    </row>
    <row r="338" spans="1:41" ht="13.5">
      <c r="A338" s="2"/>
      <c r="B338" s="2"/>
      <c r="C338" s="2"/>
      <c r="D338" s="2"/>
      <c r="E338" s="2"/>
      <c r="F338" s="2"/>
      <c r="G338" s="2"/>
      <c r="H338" s="40"/>
      <c r="I338" s="2"/>
      <c r="J338" s="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2"/>
      <c r="AJ338" s="2"/>
      <c r="AK338" s="2"/>
      <c r="AL338" s="2"/>
      <c r="AM338" s="2"/>
      <c r="AN338" s="2"/>
      <c r="AO338" s="2"/>
    </row>
    <row r="339" spans="1:41" ht="13.5">
      <c r="A339" s="2"/>
      <c r="B339" s="2"/>
      <c r="C339" s="2"/>
      <c r="D339" s="2"/>
      <c r="E339" s="2"/>
      <c r="F339" s="2"/>
      <c r="G339" s="2"/>
      <c r="H339" s="40"/>
      <c r="I339" s="2"/>
      <c r="J339" s="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2"/>
      <c r="AJ339" s="2"/>
      <c r="AK339" s="2"/>
      <c r="AL339" s="2"/>
      <c r="AM339" s="2"/>
      <c r="AN339" s="2"/>
      <c r="AO339" s="2"/>
    </row>
    <row r="340" spans="1:41" ht="13.5">
      <c r="A340" s="2"/>
      <c r="B340" s="2"/>
      <c r="C340" s="2"/>
      <c r="D340" s="2"/>
      <c r="E340" s="2"/>
      <c r="F340" s="2"/>
      <c r="G340" s="2"/>
      <c r="H340" s="40"/>
      <c r="I340" s="2"/>
      <c r="J340" s="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2"/>
      <c r="AJ340" s="2"/>
      <c r="AK340" s="2"/>
      <c r="AL340" s="2"/>
      <c r="AM340" s="2"/>
      <c r="AN340" s="2"/>
      <c r="AO340" s="2"/>
    </row>
    <row r="341" spans="1:41" ht="13.5">
      <c r="A341" s="2"/>
      <c r="B341" s="2"/>
      <c r="C341" s="2"/>
      <c r="D341" s="2"/>
      <c r="E341" s="2"/>
      <c r="F341" s="2"/>
      <c r="G341" s="2"/>
      <c r="H341" s="40"/>
      <c r="I341" s="2"/>
      <c r="J341" s="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2"/>
      <c r="AJ341" s="2"/>
      <c r="AK341" s="2"/>
      <c r="AL341" s="2"/>
      <c r="AM341" s="2"/>
      <c r="AN341" s="2"/>
      <c r="AO341" s="2"/>
    </row>
    <row r="342" spans="1:41" ht="13.5">
      <c r="A342" s="2"/>
      <c r="B342" s="2"/>
      <c r="C342" s="2"/>
      <c r="D342" s="2"/>
      <c r="E342" s="2"/>
      <c r="F342" s="2"/>
      <c r="G342" s="2"/>
      <c r="H342" s="40"/>
      <c r="I342" s="2"/>
      <c r="J342" s="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2"/>
      <c r="AJ342" s="2"/>
      <c r="AK342" s="2"/>
      <c r="AL342" s="2"/>
      <c r="AM342" s="2"/>
      <c r="AN342" s="2"/>
      <c r="AO342" s="2"/>
    </row>
    <row r="343" spans="1:41" ht="13.5">
      <c r="A343" s="2"/>
      <c r="B343" s="2"/>
      <c r="C343" s="2"/>
      <c r="D343" s="2"/>
      <c r="E343" s="2"/>
      <c r="F343" s="2"/>
      <c r="G343" s="2"/>
      <c r="H343" s="40"/>
      <c r="I343" s="2"/>
      <c r="J343" s="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2"/>
      <c r="AJ343" s="2"/>
      <c r="AK343" s="2"/>
      <c r="AL343" s="2"/>
      <c r="AM343" s="2"/>
      <c r="AN343" s="2"/>
      <c r="AO343" s="2"/>
    </row>
    <row r="344" spans="1:41" ht="13.5">
      <c r="A344" s="2"/>
      <c r="B344" s="2"/>
      <c r="C344" s="2"/>
      <c r="D344" s="2"/>
      <c r="E344" s="2"/>
      <c r="F344" s="2"/>
      <c r="G344" s="2"/>
      <c r="H344" s="40"/>
      <c r="I344" s="2"/>
      <c r="J344" s="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2"/>
      <c r="AJ344" s="2"/>
      <c r="AK344" s="2"/>
      <c r="AL344" s="2"/>
      <c r="AM344" s="2"/>
      <c r="AN344" s="2"/>
      <c r="AO344" s="2"/>
    </row>
    <row r="345" spans="1:41" ht="13.5">
      <c r="A345" s="2"/>
      <c r="B345" s="2"/>
      <c r="C345" s="2"/>
      <c r="D345" s="2"/>
      <c r="E345" s="2"/>
      <c r="F345" s="2"/>
      <c r="G345" s="2"/>
      <c r="H345" s="40"/>
      <c r="I345" s="2"/>
      <c r="J345" s="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2"/>
      <c r="AJ345" s="2"/>
      <c r="AK345" s="2"/>
      <c r="AL345" s="2"/>
      <c r="AM345" s="2"/>
      <c r="AN345" s="2"/>
      <c r="AO345" s="2"/>
    </row>
    <row r="346" spans="1:41" ht="13.5">
      <c r="A346" s="2"/>
      <c r="B346" s="2"/>
      <c r="C346" s="2"/>
      <c r="D346" s="2"/>
      <c r="E346" s="2"/>
      <c r="F346" s="2"/>
      <c r="G346" s="2"/>
      <c r="H346" s="40"/>
      <c r="I346" s="2"/>
      <c r="J346" s="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2"/>
      <c r="AJ346" s="2"/>
      <c r="AK346" s="2"/>
      <c r="AL346" s="2"/>
      <c r="AM346" s="2"/>
      <c r="AN346" s="2"/>
      <c r="AO346" s="2"/>
    </row>
    <row r="347" spans="1:41" ht="13.5">
      <c r="A347" s="2"/>
      <c r="B347" s="2"/>
      <c r="C347" s="2"/>
      <c r="D347" s="2"/>
      <c r="E347" s="2"/>
      <c r="F347" s="2"/>
      <c r="G347" s="2"/>
      <c r="H347" s="40"/>
      <c r="I347" s="2"/>
      <c r="J347" s="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2"/>
      <c r="AJ347" s="2"/>
      <c r="AK347" s="2"/>
      <c r="AL347" s="2"/>
      <c r="AM347" s="2"/>
      <c r="AN347" s="2"/>
      <c r="AO347" s="2"/>
    </row>
    <row r="348" spans="1:41" ht="13.5">
      <c r="A348" s="2"/>
      <c r="B348" s="2"/>
      <c r="C348" s="2"/>
      <c r="D348" s="2"/>
      <c r="E348" s="2"/>
      <c r="F348" s="2"/>
      <c r="G348" s="2"/>
      <c r="H348" s="40"/>
      <c r="I348" s="2"/>
      <c r="J348" s="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2"/>
      <c r="AJ348" s="2"/>
      <c r="AK348" s="2"/>
      <c r="AL348" s="2"/>
      <c r="AM348" s="2"/>
      <c r="AN348" s="2"/>
      <c r="AO348" s="2"/>
    </row>
    <row r="349" spans="1:41" ht="13.5">
      <c r="A349" s="2"/>
      <c r="B349" s="2"/>
      <c r="C349" s="2"/>
      <c r="D349" s="2"/>
      <c r="E349" s="2"/>
      <c r="F349" s="2"/>
      <c r="G349" s="2"/>
      <c r="H349" s="40"/>
      <c r="I349" s="2"/>
      <c r="J349" s="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2"/>
      <c r="AJ349" s="2"/>
      <c r="AK349" s="2"/>
      <c r="AL349" s="2"/>
      <c r="AM349" s="2"/>
      <c r="AN349" s="2"/>
      <c r="AO349" s="2"/>
    </row>
    <row r="350" spans="1:41" ht="13.5">
      <c r="A350" s="2"/>
      <c r="B350" s="2"/>
      <c r="C350" s="2"/>
      <c r="D350" s="2"/>
      <c r="E350" s="2"/>
      <c r="F350" s="2"/>
      <c r="G350" s="2"/>
      <c r="H350" s="40"/>
      <c r="I350" s="2"/>
      <c r="J350" s="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2"/>
      <c r="AJ350" s="2"/>
      <c r="AK350" s="2"/>
      <c r="AL350" s="2"/>
      <c r="AM350" s="2"/>
      <c r="AN350" s="2"/>
      <c r="AO350" s="2"/>
    </row>
    <row r="351" spans="1:41" ht="13.5">
      <c r="A351" s="2"/>
      <c r="B351" s="2"/>
      <c r="C351" s="2"/>
      <c r="D351" s="2"/>
      <c r="E351" s="2"/>
      <c r="F351" s="2"/>
      <c r="G351" s="2"/>
      <c r="H351" s="40"/>
      <c r="I351" s="2"/>
      <c r="J351" s="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2"/>
      <c r="AJ351" s="2"/>
      <c r="AK351" s="2"/>
      <c r="AL351" s="2"/>
      <c r="AM351" s="2"/>
      <c r="AN351" s="2"/>
      <c r="AO351" s="2"/>
    </row>
    <row r="352" spans="1:41" ht="13.5">
      <c r="A352" s="2"/>
      <c r="B352" s="2"/>
      <c r="C352" s="2"/>
      <c r="D352" s="2"/>
      <c r="E352" s="2"/>
      <c r="F352" s="2"/>
      <c r="G352" s="2"/>
      <c r="H352" s="40"/>
      <c r="I352" s="2"/>
      <c r="J352" s="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2"/>
      <c r="AJ352" s="2"/>
      <c r="AK352" s="2"/>
      <c r="AL352" s="2"/>
      <c r="AM352" s="2"/>
      <c r="AN352" s="2"/>
      <c r="AO352" s="2"/>
    </row>
    <row r="353" spans="1:41" ht="13.5">
      <c r="A353" s="2"/>
      <c r="B353" s="2"/>
      <c r="C353" s="2"/>
      <c r="D353" s="2"/>
      <c r="E353" s="2"/>
      <c r="F353" s="2"/>
      <c r="G353" s="2"/>
      <c r="H353" s="40"/>
      <c r="I353" s="2"/>
      <c r="J353" s="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2"/>
      <c r="AJ353" s="2"/>
      <c r="AK353" s="2"/>
      <c r="AL353" s="2"/>
      <c r="AM353" s="2"/>
      <c r="AN353" s="2"/>
      <c r="AO353" s="2"/>
    </row>
    <row r="354" spans="1:41" ht="13.5">
      <c r="A354" s="2"/>
      <c r="B354" s="2"/>
      <c r="C354" s="2"/>
      <c r="D354" s="2"/>
      <c r="E354" s="2"/>
      <c r="F354" s="2"/>
      <c r="G354" s="2"/>
      <c r="H354" s="40"/>
      <c r="I354" s="2"/>
      <c r="J354" s="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2"/>
      <c r="AJ354" s="2"/>
      <c r="AK354" s="2"/>
      <c r="AL354" s="2"/>
      <c r="AM354" s="2"/>
      <c r="AN354" s="2"/>
      <c r="AO354" s="2"/>
    </row>
    <row r="355" spans="1:41" ht="13.5">
      <c r="A355" s="2"/>
      <c r="B355" s="2"/>
      <c r="C355" s="2"/>
      <c r="D355" s="2"/>
      <c r="E355" s="2"/>
      <c r="F355" s="2"/>
      <c r="G355" s="2"/>
      <c r="H355" s="40"/>
      <c r="I355" s="2"/>
      <c r="J355" s="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2"/>
      <c r="AJ355" s="2"/>
      <c r="AK355" s="2"/>
      <c r="AL355" s="2"/>
      <c r="AM355" s="2"/>
      <c r="AN355" s="2"/>
      <c r="AO355" s="2"/>
    </row>
    <row r="356" spans="1:41" ht="13.5">
      <c r="A356" s="2"/>
      <c r="B356" s="2"/>
      <c r="C356" s="2"/>
      <c r="D356" s="2"/>
      <c r="E356" s="2"/>
      <c r="F356" s="2"/>
      <c r="G356" s="2"/>
      <c r="H356" s="40"/>
      <c r="I356" s="2"/>
      <c r="J356" s="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2"/>
      <c r="AJ356" s="2"/>
      <c r="AK356" s="2"/>
      <c r="AL356" s="2"/>
      <c r="AM356" s="2"/>
      <c r="AN356" s="2"/>
      <c r="AO356" s="2"/>
    </row>
    <row r="357" spans="1:41" ht="13.5">
      <c r="A357" s="2"/>
      <c r="B357" s="2"/>
      <c r="C357" s="2"/>
      <c r="D357" s="2"/>
      <c r="E357" s="2"/>
      <c r="F357" s="2"/>
      <c r="G357" s="2"/>
      <c r="H357" s="40"/>
      <c r="I357" s="2"/>
      <c r="J357" s="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2"/>
      <c r="AJ357" s="2"/>
      <c r="AK357" s="2"/>
      <c r="AL357" s="2"/>
      <c r="AM357" s="2"/>
      <c r="AN357" s="2"/>
      <c r="AO357" s="2"/>
    </row>
    <row r="358" spans="1:41" ht="13.5">
      <c r="A358" s="2"/>
      <c r="B358" s="2"/>
      <c r="C358" s="2"/>
      <c r="D358" s="2"/>
      <c r="E358" s="2"/>
      <c r="F358" s="2"/>
      <c r="G358" s="2"/>
      <c r="H358" s="40"/>
      <c r="I358" s="2"/>
      <c r="J358" s="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2"/>
      <c r="AJ358" s="2"/>
      <c r="AK358" s="2"/>
      <c r="AL358" s="2"/>
      <c r="AM358" s="2"/>
      <c r="AN358" s="2"/>
      <c r="AO358" s="2"/>
    </row>
    <row r="359" spans="1:41" ht="13.5">
      <c r="A359" s="2"/>
      <c r="B359" s="2"/>
      <c r="C359" s="2"/>
      <c r="D359" s="2"/>
      <c r="E359" s="2"/>
      <c r="F359" s="2"/>
      <c r="G359" s="2"/>
      <c r="H359" s="40"/>
      <c r="I359" s="2"/>
      <c r="J359" s="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2"/>
      <c r="AJ359" s="2"/>
      <c r="AK359" s="2"/>
      <c r="AL359" s="2"/>
      <c r="AM359" s="2"/>
      <c r="AN359" s="2"/>
      <c r="AO359" s="2"/>
    </row>
    <row r="360" spans="1:41" ht="13.5">
      <c r="A360" s="2"/>
      <c r="B360" s="2"/>
      <c r="C360" s="2"/>
      <c r="D360" s="2"/>
      <c r="E360" s="2"/>
      <c r="F360" s="2"/>
      <c r="G360" s="2"/>
      <c r="H360" s="40"/>
      <c r="I360" s="2"/>
      <c r="J360" s="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2"/>
      <c r="AJ360" s="2"/>
      <c r="AK360" s="2"/>
      <c r="AL360" s="2"/>
      <c r="AM360" s="2"/>
      <c r="AN360" s="2"/>
      <c r="AO360" s="2"/>
    </row>
    <row r="361" spans="1:41" ht="13.5">
      <c r="A361" s="2"/>
      <c r="B361" s="2"/>
      <c r="C361" s="2"/>
      <c r="D361" s="2"/>
      <c r="E361" s="2"/>
      <c r="F361" s="2"/>
      <c r="G361" s="2"/>
      <c r="H361" s="40"/>
      <c r="I361" s="2"/>
      <c r="J361" s="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2"/>
      <c r="AJ361" s="2"/>
      <c r="AK361" s="2"/>
      <c r="AL361" s="2"/>
      <c r="AM361" s="2"/>
      <c r="AN361" s="2"/>
      <c r="AO361" s="2"/>
    </row>
    <row r="362" spans="1:41" ht="13.5">
      <c r="A362" s="2"/>
      <c r="B362" s="2"/>
      <c r="C362" s="2"/>
      <c r="D362" s="2"/>
      <c r="E362" s="2"/>
      <c r="F362" s="2"/>
      <c r="G362" s="2"/>
      <c r="H362" s="40"/>
      <c r="I362" s="2"/>
      <c r="J362" s="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2"/>
      <c r="AJ362" s="2"/>
      <c r="AK362" s="2"/>
      <c r="AL362" s="2"/>
      <c r="AM362" s="2"/>
      <c r="AN362" s="2"/>
      <c r="AO362" s="2"/>
    </row>
    <row r="363" spans="1:41" ht="13.5">
      <c r="A363" s="2"/>
      <c r="B363" s="2"/>
      <c r="C363" s="2"/>
      <c r="D363" s="2"/>
      <c r="E363" s="2"/>
      <c r="F363" s="2"/>
      <c r="G363" s="2"/>
      <c r="H363" s="40"/>
      <c r="I363" s="2"/>
      <c r="J363" s="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2"/>
      <c r="AJ363" s="2"/>
      <c r="AK363" s="2"/>
      <c r="AL363" s="2"/>
      <c r="AM363" s="2"/>
      <c r="AN363" s="2"/>
      <c r="AO363" s="2"/>
    </row>
    <row r="364" spans="1:41" ht="13.5">
      <c r="A364" s="2"/>
      <c r="B364" s="2"/>
      <c r="C364" s="2"/>
      <c r="D364" s="2"/>
      <c r="E364" s="2"/>
      <c r="F364" s="2"/>
      <c r="G364" s="2"/>
      <c r="H364" s="40"/>
      <c r="I364" s="2"/>
      <c r="J364" s="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2"/>
      <c r="AJ364" s="2"/>
      <c r="AK364" s="2"/>
      <c r="AL364" s="2"/>
      <c r="AM364" s="2"/>
      <c r="AN364" s="2"/>
      <c r="AO364" s="2"/>
    </row>
    <row r="365" spans="1:41" ht="13.5">
      <c r="A365" s="2"/>
      <c r="B365" s="2"/>
      <c r="C365" s="2"/>
      <c r="D365" s="2"/>
      <c r="E365" s="2"/>
      <c r="F365" s="2"/>
      <c r="G365" s="2"/>
      <c r="H365" s="40"/>
      <c r="I365" s="2"/>
      <c r="J365" s="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2"/>
      <c r="AJ365" s="2"/>
      <c r="AK365" s="2"/>
      <c r="AL365" s="2"/>
      <c r="AM365" s="2"/>
      <c r="AN365" s="2"/>
      <c r="AO365" s="2"/>
    </row>
    <row r="366" spans="1:41" ht="13.5">
      <c r="A366" s="2"/>
      <c r="B366" s="2"/>
      <c r="C366" s="2"/>
      <c r="D366" s="2"/>
      <c r="E366" s="2"/>
      <c r="F366" s="2"/>
      <c r="G366" s="2"/>
      <c r="H366" s="40"/>
      <c r="I366" s="2"/>
      <c r="J366" s="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2"/>
      <c r="AJ366" s="2"/>
      <c r="AK366" s="2"/>
      <c r="AL366" s="2"/>
      <c r="AM366" s="2"/>
      <c r="AN366" s="2"/>
      <c r="AO366" s="2"/>
    </row>
    <row r="367" spans="1:41" ht="13.5">
      <c r="A367" s="2"/>
      <c r="B367" s="2"/>
      <c r="C367" s="2"/>
      <c r="D367" s="2"/>
      <c r="E367" s="2"/>
      <c r="F367" s="2"/>
      <c r="G367" s="2"/>
      <c r="H367" s="40"/>
      <c r="I367" s="2"/>
      <c r="J367" s="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2"/>
      <c r="AJ367" s="2"/>
      <c r="AK367" s="2"/>
      <c r="AL367" s="2"/>
      <c r="AM367" s="2"/>
      <c r="AN367" s="2"/>
      <c r="AO367" s="2"/>
    </row>
    <row r="368" spans="1:41" ht="13.5">
      <c r="A368" s="2"/>
      <c r="B368" s="2"/>
      <c r="C368" s="2"/>
      <c r="D368" s="2"/>
      <c r="E368" s="2"/>
      <c r="F368" s="2"/>
      <c r="G368" s="2"/>
      <c r="H368" s="40"/>
      <c r="I368" s="2"/>
      <c r="J368" s="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2"/>
      <c r="AJ368" s="2"/>
      <c r="AK368" s="2"/>
      <c r="AL368" s="2"/>
      <c r="AM368" s="2"/>
      <c r="AN368" s="2"/>
      <c r="AO368" s="2"/>
    </row>
    <row r="369" spans="1:41" ht="13.5">
      <c r="A369" s="2"/>
      <c r="B369" s="2"/>
      <c r="C369" s="2"/>
      <c r="D369" s="2"/>
      <c r="E369" s="2"/>
      <c r="F369" s="2"/>
      <c r="G369" s="2"/>
      <c r="H369" s="40"/>
      <c r="I369" s="2"/>
      <c r="J369" s="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2"/>
      <c r="AJ369" s="2"/>
      <c r="AK369" s="2"/>
      <c r="AL369" s="2"/>
      <c r="AM369" s="2"/>
      <c r="AN369" s="2"/>
      <c r="AO369" s="2"/>
    </row>
    <row r="370" spans="1:41" ht="13.5">
      <c r="A370" s="2"/>
      <c r="B370" s="2"/>
      <c r="C370" s="2"/>
      <c r="D370" s="2"/>
      <c r="E370" s="2"/>
      <c r="F370" s="2"/>
      <c r="G370" s="2"/>
      <c r="H370" s="40"/>
      <c r="I370" s="2"/>
      <c r="J370" s="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2"/>
      <c r="AJ370" s="2"/>
      <c r="AK370" s="2"/>
      <c r="AL370" s="2"/>
      <c r="AM370" s="2"/>
      <c r="AN370" s="2"/>
      <c r="AO370" s="2"/>
    </row>
    <row r="371" spans="1:41" ht="13.5">
      <c r="A371" s="2"/>
      <c r="B371" s="2"/>
      <c r="C371" s="2"/>
      <c r="D371" s="2"/>
      <c r="E371" s="2"/>
      <c r="F371" s="2"/>
      <c r="G371" s="2"/>
      <c r="H371" s="40"/>
      <c r="I371" s="2"/>
      <c r="J371" s="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2"/>
      <c r="AJ371" s="2"/>
      <c r="AK371" s="2"/>
      <c r="AL371" s="2"/>
      <c r="AM371" s="2"/>
      <c r="AN371" s="2"/>
      <c r="AO371" s="2"/>
    </row>
    <row r="372" spans="1:41" ht="13.5">
      <c r="A372" s="2"/>
      <c r="B372" s="2"/>
      <c r="C372" s="2"/>
      <c r="D372" s="2"/>
      <c r="E372" s="2"/>
      <c r="F372" s="2"/>
      <c r="G372" s="2"/>
      <c r="H372" s="40"/>
      <c r="I372" s="2"/>
      <c r="J372" s="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2"/>
      <c r="AJ372" s="2"/>
      <c r="AK372" s="2"/>
      <c r="AL372" s="2"/>
      <c r="AM372" s="2"/>
      <c r="AN372" s="2"/>
      <c r="AO372" s="2"/>
    </row>
    <row r="373" spans="1:41" ht="13.5">
      <c r="A373" s="2"/>
      <c r="B373" s="2"/>
      <c r="C373" s="2"/>
      <c r="D373" s="2"/>
      <c r="E373" s="2"/>
      <c r="F373" s="2"/>
      <c r="G373" s="2"/>
      <c r="H373" s="40"/>
      <c r="I373" s="2"/>
      <c r="J373" s="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2"/>
      <c r="AJ373" s="2"/>
      <c r="AK373" s="2"/>
      <c r="AL373" s="2"/>
      <c r="AM373" s="2"/>
      <c r="AN373" s="2"/>
      <c r="AO373" s="2"/>
    </row>
    <row r="374" spans="1:41" ht="13.5">
      <c r="A374" s="2"/>
      <c r="B374" s="2"/>
      <c r="C374" s="2"/>
      <c r="D374" s="2"/>
      <c r="E374" s="2"/>
      <c r="F374" s="2"/>
      <c r="G374" s="2"/>
      <c r="H374" s="40"/>
      <c r="I374" s="2"/>
      <c r="J374" s="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2"/>
      <c r="AJ374" s="2"/>
      <c r="AK374" s="2"/>
      <c r="AL374" s="2"/>
      <c r="AM374" s="2"/>
      <c r="AN374" s="2"/>
      <c r="AO374" s="2"/>
    </row>
    <row r="375" spans="1:41" ht="13.5">
      <c r="A375" s="2"/>
      <c r="B375" s="2"/>
      <c r="C375" s="2"/>
      <c r="D375" s="2"/>
      <c r="E375" s="2"/>
      <c r="F375" s="2"/>
      <c r="G375" s="2"/>
      <c r="H375" s="40"/>
      <c r="I375" s="2"/>
      <c r="J375" s="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2"/>
      <c r="AJ375" s="2"/>
      <c r="AK375" s="2"/>
      <c r="AL375" s="2"/>
      <c r="AM375" s="2"/>
      <c r="AN375" s="2"/>
      <c r="AO375" s="2"/>
    </row>
    <row r="376" spans="1:41" ht="13.5">
      <c r="A376" s="2"/>
      <c r="B376" s="2"/>
      <c r="C376" s="2"/>
      <c r="D376" s="2"/>
      <c r="E376" s="2"/>
      <c r="F376" s="2"/>
      <c r="G376" s="2"/>
      <c r="H376" s="40"/>
      <c r="I376" s="2"/>
      <c r="J376" s="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2"/>
      <c r="AJ376" s="2"/>
      <c r="AK376" s="2"/>
      <c r="AL376" s="2"/>
      <c r="AM376" s="2"/>
      <c r="AN376" s="2"/>
      <c r="AO376" s="2"/>
    </row>
    <row r="377" spans="1:41" ht="13.5">
      <c r="A377" s="2"/>
      <c r="B377" s="2"/>
      <c r="C377" s="2"/>
      <c r="D377" s="2"/>
      <c r="E377" s="2"/>
      <c r="F377" s="2"/>
      <c r="G377" s="2"/>
      <c r="H377" s="40"/>
      <c r="I377" s="2"/>
      <c r="J377" s="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2"/>
      <c r="AJ377" s="2"/>
      <c r="AK377" s="2"/>
      <c r="AL377" s="2"/>
      <c r="AM377" s="2"/>
      <c r="AN377" s="2"/>
      <c r="AO377" s="2"/>
    </row>
    <row r="378" spans="1:41" ht="13.5">
      <c r="A378" s="2"/>
      <c r="B378" s="2"/>
      <c r="C378" s="2"/>
      <c r="D378" s="2"/>
      <c r="E378" s="2"/>
      <c r="F378" s="2"/>
      <c r="G378" s="2"/>
      <c r="H378" s="40"/>
      <c r="I378" s="2"/>
      <c r="J378" s="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2"/>
      <c r="AJ378" s="2"/>
      <c r="AK378" s="2"/>
      <c r="AL378" s="2"/>
      <c r="AM378" s="2"/>
      <c r="AN378" s="2"/>
      <c r="AO378" s="2"/>
    </row>
    <row r="379" spans="1:41" ht="13.5">
      <c r="A379" s="2"/>
      <c r="B379" s="2"/>
      <c r="C379" s="2"/>
      <c r="D379" s="2"/>
      <c r="E379" s="2"/>
      <c r="F379" s="2"/>
      <c r="G379" s="2"/>
      <c r="H379" s="40"/>
      <c r="I379" s="2"/>
      <c r="J379" s="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2"/>
      <c r="AJ379" s="2"/>
      <c r="AK379" s="2"/>
      <c r="AL379" s="2"/>
      <c r="AM379" s="2"/>
      <c r="AN379" s="2"/>
      <c r="AO379" s="2"/>
    </row>
    <row r="380" spans="1:41" ht="13.5">
      <c r="A380" s="2"/>
      <c r="B380" s="2"/>
      <c r="C380" s="2"/>
      <c r="D380" s="2"/>
      <c r="E380" s="2"/>
      <c r="F380" s="2"/>
      <c r="G380" s="2"/>
      <c r="H380" s="40"/>
      <c r="I380" s="2"/>
      <c r="J380" s="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2"/>
      <c r="AJ380" s="2"/>
      <c r="AK380" s="2"/>
      <c r="AL380" s="2"/>
      <c r="AM380" s="2"/>
      <c r="AN380" s="2"/>
      <c r="AO380" s="2"/>
    </row>
    <row r="381" spans="1:41" ht="13.5">
      <c r="A381" s="2"/>
      <c r="B381" s="2"/>
      <c r="C381" s="2"/>
      <c r="D381" s="2"/>
      <c r="E381" s="2"/>
      <c r="F381" s="2"/>
      <c r="G381" s="2"/>
      <c r="H381" s="40"/>
      <c r="I381" s="2"/>
      <c r="J381" s="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2"/>
      <c r="AJ381" s="2"/>
      <c r="AK381" s="2"/>
      <c r="AL381" s="2"/>
      <c r="AM381" s="2"/>
      <c r="AN381" s="2"/>
      <c r="AO381" s="2"/>
    </row>
    <row r="382" spans="1:41" ht="13.5">
      <c r="A382" s="2"/>
      <c r="B382" s="2"/>
      <c r="C382" s="2"/>
      <c r="D382" s="2"/>
      <c r="E382" s="2"/>
      <c r="F382" s="2"/>
      <c r="G382" s="2"/>
      <c r="H382" s="40"/>
      <c r="I382" s="2"/>
      <c r="J382" s="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2"/>
      <c r="AJ382" s="2"/>
      <c r="AK382" s="2"/>
      <c r="AL382" s="2"/>
      <c r="AM382" s="2"/>
      <c r="AN382" s="2"/>
      <c r="AO382" s="2"/>
    </row>
    <row r="383" spans="1:41" ht="13.5">
      <c r="A383" s="2"/>
      <c r="B383" s="2"/>
      <c r="C383" s="2"/>
      <c r="D383" s="2"/>
      <c r="E383" s="2"/>
      <c r="F383" s="2"/>
      <c r="G383" s="2"/>
      <c r="H383" s="40"/>
      <c r="I383" s="2"/>
      <c r="J383" s="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2"/>
      <c r="AJ383" s="2"/>
      <c r="AK383" s="2"/>
      <c r="AL383" s="2"/>
      <c r="AM383" s="2"/>
      <c r="AN383" s="2"/>
      <c r="AO383" s="2"/>
    </row>
    <row r="384" spans="1:41" ht="13.5">
      <c r="A384" s="2"/>
      <c r="B384" s="2"/>
      <c r="C384" s="2"/>
      <c r="D384" s="2"/>
      <c r="E384" s="2"/>
      <c r="F384" s="2"/>
      <c r="G384" s="2"/>
      <c r="H384" s="40"/>
      <c r="I384" s="2"/>
      <c r="J384" s="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2"/>
      <c r="AJ384" s="2"/>
      <c r="AK384" s="2"/>
      <c r="AL384" s="2"/>
      <c r="AM384" s="2"/>
      <c r="AN384" s="2"/>
      <c r="AO384" s="2"/>
    </row>
    <row r="385" spans="1:41" ht="13.5">
      <c r="A385" s="2"/>
      <c r="B385" s="2"/>
      <c r="C385" s="2"/>
      <c r="D385" s="2"/>
      <c r="E385" s="2"/>
      <c r="F385" s="2"/>
      <c r="G385" s="2"/>
      <c r="H385" s="40"/>
      <c r="I385" s="2"/>
      <c r="J385" s="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2"/>
      <c r="AJ385" s="2"/>
      <c r="AK385" s="2"/>
      <c r="AL385" s="2"/>
      <c r="AM385" s="2"/>
      <c r="AN385" s="2"/>
      <c r="AO385" s="2"/>
    </row>
    <row r="386" spans="1:41" ht="13.5">
      <c r="A386" s="2"/>
      <c r="B386" s="2"/>
      <c r="C386" s="2"/>
      <c r="D386" s="2"/>
      <c r="E386" s="2"/>
      <c r="F386" s="2"/>
      <c r="G386" s="2"/>
      <c r="H386" s="40"/>
      <c r="I386" s="2"/>
      <c r="J386" s="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2"/>
      <c r="AJ386" s="2"/>
      <c r="AK386" s="2"/>
      <c r="AL386" s="2"/>
      <c r="AM386" s="2"/>
      <c r="AN386" s="2"/>
      <c r="AO386" s="2"/>
    </row>
    <row r="387" spans="1:41" ht="13.5">
      <c r="A387" s="2"/>
      <c r="B387" s="2"/>
      <c r="C387" s="2"/>
      <c r="D387" s="2"/>
      <c r="E387" s="2"/>
      <c r="F387" s="2"/>
      <c r="G387" s="2"/>
      <c r="H387" s="40"/>
      <c r="I387" s="2"/>
      <c r="J387" s="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2"/>
      <c r="AJ387" s="2"/>
      <c r="AK387" s="2"/>
      <c r="AL387" s="2"/>
      <c r="AM387" s="2"/>
      <c r="AN387" s="2"/>
      <c r="AO387" s="2"/>
    </row>
    <row r="388" spans="1:41" ht="13.5">
      <c r="A388" s="2"/>
      <c r="B388" s="2"/>
      <c r="C388" s="2"/>
      <c r="D388" s="2"/>
      <c r="E388" s="2"/>
      <c r="F388" s="2"/>
      <c r="G388" s="2"/>
      <c r="H388" s="40"/>
      <c r="I388" s="2"/>
      <c r="J388" s="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2"/>
      <c r="AJ388" s="2"/>
      <c r="AK388" s="2"/>
      <c r="AL388" s="2"/>
      <c r="AM388" s="2"/>
      <c r="AN388" s="2"/>
      <c r="AO388" s="2"/>
    </row>
    <row r="389" spans="1:41" ht="13.5">
      <c r="A389" s="2"/>
      <c r="B389" s="2"/>
      <c r="C389" s="2"/>
      <c r="D389" s="2"/>
      <c r="E389" s="2"/>
      <c r="F389" s="2"/>
      <c r="G389" s="2"/>
      <c r="H389" s="40"/>
      <c r="I389" s="2"/>
      <c r="J389" s="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2"/>
      <c r="AJ389" s="2"/>
      <c r="AK389" s="2"/>
      <c r="AL389" s="2"/>
      <c r="AM389" s="2"/>
      <c r="AN389" s="2"/>
      <c r="AO389" s="2"/>
    </row>
    <row r="390" spans="1:41" ht="13.5">
      <c r="A390" s="2"/>
      <c r="B390" s="2"/>
      <c r="C390" s="2"/>
      <c r="D390" s="2"/>
      <c r="E390" s="2"/>
      <c r="F390" s="2"/>
      <c r="G390" s="2"/>
      <c r="H390" s="40"/>
      <c r="I390" s="2"/>
      <c r="J390" s="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2"/>
      <c r="AJ390" s="2"/>
      <c r="AK390" s="2"/>
      <c r="AL390" s="2"/>
      <c r="AM390" s="2"/>
      <c r="AN390" s="2"/>
      <c r="AO390" s="2"/>
    </row>
    <row r="391" spans="1:41" ht="13.5">
      <c r="A391" s="2"/>
      <c r="B391" s="2"/>
      <c r="C391" s="2"/>
      <c r="D391" s="2"/>
      <c r="E391" s="2"/>
      <c r="F391" s="2"/>
      <c r="G391" s="2"/>
      <c r="H391" s="40"/>
      <c r="I391" s="2"/>
      <c r="J391" s="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2"/>
      <c r="AJ391" s="2"/>
      <c r="AK391" s="2"/>
      <c r="AL391" s="2"/>
      <c r="AM391" s="2"/>
      <c r="AN391" s="2"/>
      <c r="AO391" s="2"/>
    </row>
    <row r="392" spans="1:41" ht="13.5">
      <c r="A392" s="2"/>
      <c r="B392" s="2"/>
      <c r="C392" s="2"/>
      <c r="D392" s="2"/>
      <c r="E392" s="2"/>
      <c r="F392" s="2"/>
      <c r="G392" s="2"/>
      <c r="H392" s="40"/>
      <c r="I392" s="2"/>
      <c r="J392" s="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2"/>
      <c r="AJ392" s="2"/>
      <c r="AK392" s="2"/>
      <c r="AL392" s="2"/>
      <c r="AM392" s="2"/>
      <c r="AN392" s="2"/>
      <c r="AO392" s="2"/>
    </row>
    <row r="393" spans="1:41" ht="13.5">
      <c r="A393" s="2"/>
      <c r="B393" s="2"/>
      <c r="C393" s="2"/>
      <c r="D393" s="2"/>
      <c r="E393" s="2"/>
      <c r="F393" s="2"/>
      <c r="G393" s="2"/>
      <c r="H393" s="40"/>
      <c r="I393" s="2"/>
      <c r="J393" s="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2"/>
      <c r="AJ393" s="2"/>
      <c r="AK393" s="2"/>
      <c r="AL393" s="2"/>
      <c r="AM393" s="2"/>
      <c r="AN393" s="2"/>
      <c r="AO393" s="2"/>
    </row>
    <row r="394" spans="1:41" ht="13.5">
      <c r="A394" s="2"/>
      <c r="B394" s="2"/>
      <c r="C394" s="2"/>
      <c r="D394" s="2"/>
      <c r="E394" s="2"/>
      <c r="F394" s="2"/>
      <c r="G394" s="2"/>
      <c r="H394" s="40"/>
      <c r="I394" s="2"/>
      <c r="J394" s="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2"/>
      <c r="AJ394" s="2"/>
      <c r="AK394" s="2"/>
      <c r="AL394" s="2"/>
      <c r="AM394" s="2"/>
      <c r="AN394" s="2"/>
      <c r="AO394" s="2"/>
    </row>
    <row r="395" spans="1:41" ht="13.5">
      <c r="A395" s="2"/>
      <c r="B395" s="2"/>
      <c r="C395" s="2"/>
      <c r="D395" s="2"/>
      <c r="E395" s="2"/>
      <c r="F395" s="2"/>
      <c r="G395" s="2"/>
      <c r="H395" s="40"/>
      <c r="I395" s="2"/>
      <c r="J395" s="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2"/>
      <c r="AJ395" s="2"/>
      <c r="AK395" s="2"/>
      <c r="AL395" s="2"/>
      <c r="AM395" s="2"/>
      <c r="AN395" s="2"/>
      <c r="AO395" s="2"/>
    </row>
    <row r="396" spans="1:41" ht="13.5">
      <c r="A396" s="2"/>
      <c r="B396" s="2"/>
      <c r="C396" s="2"/>
      <c r="D396" s="2"/>
      <c r="E396" s="2"/>
      <c r="F396" s="2"/>
      <c r="G396" s="2"/>
      <c r="H396" s="40"/>
      <c r="I396" s="2"/>
      <c r="J396" s="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2"/>
      <c r="AJ396" s="2"/>
      <c r="AK396" s="2"/>
      <c r="AL396" s="2"/>
      <c r="AM396" s="2"/>
      <c r="AN396" s="2"/>
      <c r="AO396" s="2"/>
    </row>
    <row r="397" spans="1:41" ht="13.5">
      <c r="A397" s="2"/>
      <c r="B397" s="2"/>
      <c r="C397" s="2"/>
      <c r="D397" s="2"/>
      <c r="E397" s="2"/>
      <c r="F397" s="2"/>
      <c r="G397" s="2"/>
      <c r="H397" s="40"/>
      <c r="I397" s="2"/>
      <c r="J397" s="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2"/>
      <c r="AJ397" s="2"/>
      <c r="AK397" s="2"/>
      <c r="AL397" s="2"/>
      <c r="AM397" s="2"/>
      <c r="AN397" s="2"/>
      <c r="AO397" s="2"/>
    </row>
    <row r="398" spans="1:41" ht="13.5">
      <c r="A398" s="2"/>
      <c r="B398" s="2"/>
      <c r="C398" s="2"/>
      <c r="D398" s="2"/>
      <c r="E398" s="2"/>
      <c r="F398" s="2"/>
      <c r="G398" s="2"/>
      <c r="H398" s="40"/>
      <c r="I398" s="2"/>
      <c r="J398" s="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2"/>
      <c r="AJ398" s="2"/>
      <c r="AK398" s="2"/>
      <c r="AL398" s="2"/>
      <c r="AM398" s="2"/>
      <c r="AN398" s="2"/>
      <c r="AO398" s="2"/>
    </row>
    <row r="399" spans="1:41" ht="13.5">
      <c r="A399" s="2"/>
      <c r="B399" s="2"/>
      <c r="C399" s="2"/>
      <c r="D399" s="2"/>
      <c r="E399" s="2"/>
      <c r="F399" s="2"/>
      <c r="G399" s="2"/>
      <c r="H399" s="40"/>
      <c r="I399" s="2"/>
      <c r="J399" s="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2"/>
      <c r="AJ399" s="2"/>
      <c r="AK399" s="2"/>
      <c r="AL399" s="2"/>
      <c r="AM399" s="2"/>
      <c r="AN399" s="2"/>
      <c r="AO399" s="2"/>
    </row>
    <row r="400" spans="1:41" ht="13.5">
      <c r="A400" s="2"/>
      <c r="B400" s="2"/>
      <c r="C400" s="2"/>
      <c r="D400" s="2"/>
      <c r="E400" s="2"/>
      <c r="F400" s="2"/>
      <c r="G400" s="2"/>
      <c r="H400" s="40"/>
      <c r="I400" s="2"/>
      <c r="J400" s="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2"/>
      <c r="AJ400" s="2"/>
      <c r="AK400" s="2"/>
      <c r="AL400" s="2"/>
      <c r="AM400" s="2"/>
      <c r="AN400" s="2"/>
      <c r="AO400" s="2"/>
    </row>
    <row r="401" spans="1:41" ht="13.5">
      <c r="A401" s="2"/>
      <c r="B401" s="2"/>
      <c r="C401" s="2"/>
      <c r="D401" s="2"/>
      <c r="E401" s="2"/>
      <c r="F401" s="2"/>
      <c r="G401" s="2"/>
      <c r="H401" s="40"/>
      <c r="I401" s="2"/>
      <c r="J401" s="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2"/>
      <c r="AJ401" s="2"/>
      <c r="AK401" s="2"/>
      <c r="AL401" s="2"/>
      <c r="AM401" s="2"/>
      <c r="AN401" s="2"/>
      <c r="AO401" s="2"/>
    </row>
    <row r="402" spans="1:41" ht="13.5">
      <c r="A402" s="2"/>
      <c r="B402" s="2"/>
      <c r="C402" s="2"/>
      <c r="D402" s="2"/>
      <c r="E402" s="2"/>
      <c r="F402" s="2"/>
      <c r="G402" s="2"/>
      <c r="H402" s="40"/>
      <c r="I402" s="2"/>
      <c r="J402" s="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2"/>
      <c r="AJ402" s="2"/>
      <c r="AK402" s="2"/>
      <c r="AL402" s="2"/>
      <c r="AM402" s="2"/>
      <c r="AN402" s="2"/>
      <c r="AO402" s="2"/>
    </row>
    <row r="403" spans="1:41" ht="13.5">
      <c r="A403" s="2"/>
      <c r="B403" s="2"/>
      <c r="C403" s="2"/>
      <c r="D403" s="2"/>
      <c r="E403" s="2"/>
      <c r="F403" s="2"/>
      <c r="G403" s="2"/>
      <c r="H403" s="40"/>
      <c r="I403" s="2"/>
      <c r="J403" s="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2"/>
      <c r="AJ403" s="2"/>
      <c r="AK403" s="2"/>
      <c r="AL403" s="2"/>
      <c r="AM403" s="2"/>
      <c r="AN403" s="2"/>
      <c r="AO403" s="2"/>
    </row>
    <row r="404" spans="1:41" ht="13.5">
      <c r="A404" s="2"/>
      <c r="B404" s="2"/>
      <c r="C404" s="2"/>
      <c r="D404" s="2"/>
      <c r="E404" s="2"/>
      <c r="F404" s="2"/>
      <c r="G404" s="2"/>
      <c r="H404" s="40"/>
      <c r="I404" s="2"/>
      <c r="J404" s="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2"/>
      <c r="AJ404" s="2"/>
      <c r="AK404" s="2"/>
      <c r="AL404" s="2"/>
      <c r="AM404" s="2"/>
      <c r="AN404" s="2"/>
      <c r="AO404" s="2"/>
    </row>
    <row r="405" spans="1:41" ht="13.5">
      <c r="A405" s="2"/>
      <c r="B405" s="2"/>
      <c r="C405" s="2"/>
      <c r="D405" s="2"/>
      <c r="E405" s="2"/>
      <c r="F405" s="2"/>
      <c r="G405" s="2"/>
      <c r="H405" s="40"/>
      <c r="I405" s="2"/>
      <c r="J405" s="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2"/>
      <c r="AJ405" s="2"/>
      <c r="AK405" s="2"/>
      <c r="AL405" s="2"/>
      <c r="AM405" s="2"/>
      <c r="AN405" s="2"/>
      <c r="AO405" s="2"/>
    </row>
    <row r="406" spans="1:41" ht="13.5">
      <c r="A406" s="2"/>
      <c r="B406" s="2"/>
      <c r="C406" s="2"/>
      <c r="D406" s="2"/>
      <c r="E406" s="2"/>
      <c r="F406" s="2"/>
      <c r="G406" s="2"/>
      <c r="H406" s="40"/>
      <c r="I406" s="2"/>
      <c r="J406" s="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2"/>
      <c r="AJ406" s="2"/>
      <c r="AK406" s="2"/>
      <c r="AL406" s="2"/>
      <c r="AM406" s="2"/>
      <c r="AN406" s="2"/>
      <c r="AO406" s="2"/>
    </row>
    <row r="407" spans="1:41" ht="13.5">
      <c r="A407" s="2"/>
      <c r="B407" s="2"/>
      <c r="C407" s="2"/>
      <c r="D407" s="2"/>
      <c r="E407" s="2"/>
      <c r="F407" s="2"/>
      <c r="G407" s="2"/>
      <c r="H407" s="40"/>
      <c r="I407" s="2"/>
      <c r="J407" s="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2"/>
      <c r="AJ407" s="2"/>
      <c r="AK407" s="2"/>
      <c r="AL407" s="2"/>
      <c r="AM407" s="2"/>
      <c r="AN407" s="2"/>
      <c r="AO407" s="2"/>
    </row>
    <row r="408" spans="1:41" ht="13.5">
      <c r="A408" s="2"/>
      <c r="B408" s="2"/>
      <c r="C408" s="2"/>
      <c r="D408" s="2"/>
      <c r="E408" s="2"/>
      <c r="F408" s="2"/>
      <c r="G408" s="2"/>
      <c r="H408" s="40"/>
      <c r="I408" s="2"/>
      <c r="J408" s="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2"/>
      <c r="AJ408" s="2"/>
      <c r="AK408" s="2"/>
      <c r="AL408" s="2"/>
      <c r="AM408" s="2"/>
      <c r="AN408" s="2"/>
      <c r="AO408" s="2"/>
    </row>
    <row r="409" spans="1:41" ht="13.5">
      <c r="A409" s="2"/>
      <c r="B409" s="2"/>
      <c r="C409" s="2"/>
      <c r="D409" s="2"/>
      <c r="E409" s="2"/>
      <c r="F409" s="2"/>
      <c r="G409" s="2"/>
      <c r="H409" s="40"/>
      <c r="I409" s="2"/>
      <c r="J409" s="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2"/>
      <c r="AJ409" s="2"/>
      <c r="AK409" s="2"/>
      <c r="AL409" s="2"/>
      <c r="AM409" s="2"/>
      <c r="AN409" s="2"/>
      <c r="AO409" s="2"/>
    </row>
    <row r="410" spans="1:41" ht="13.5">
      <c r="A410" s="2"/>
      <c r="B410" s="2"/>
      <c r="C410" s="2"/>
      <c r="D410" s="2"/>
      <c r="E410" s="2"/>
      <c r="F410" s="2"/>
      <c r="G410" s="2"/>
      <c r="H410" s="40"/>
      <c r="I410" s="2"/>
      <c r="J410" s="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2"/>
      <c r="AJ410" s="2"/>
      <c r="AK410" s="2"/>
      <c r="AL410" s="2"/>
      <c r="AM410" s="2"/>
      <c r="AN410" s="2"/>
      <c r="AO410" s="2"/>
    </row>
    <row r="411" spans="1:41" ht="13.5">
      <c r="A411" s="2"/>
      <c r="B411" s="2"/>
      <c r="C411" s="2"/>
      <c r="D411" s="2"/>
      <c r="E411" s="2"/>
      <c r="F411" s="2"/>
      <c r="G411" s="2"/>
      <c r="H411" s="40"/>
      <c r="I411" s="2"/>
      <c r="J411" s="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2"/>
      <c r="AJ411" s="2"/>
      <c r="AK411" s="2"/>
      <c r="AL411" s="2"/>
      <c r="AM411" s="2"/>
      <c r="AN411" s="2"/>
      <c r="AO411" s="2"/>
    </row>
    <row r="412" spans="1:41" ht="13.5">
      <c r="A412" s="2"/>
      <c r="B412" s="2"/>
      <c r="C412" s="2"/>
      <c r="D412" s="2"/>
      <c r="E412" s="2"/>
      <c r="F412" s="2"/>
      <c r="G412" s="2"/>
      <c r="H412" s="40"/>
      <c r="I412" s="2"/>
      <c r="J412" s="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2"/>
      <c r="AJ412" s="2"/>
      <c r="AK412" s="2"/>
      <c r="AL412" s="2"/>
      <c r="AM412" s="2"/>
      <c r="AN412" s="2"/>
      <c r="AO412" s="2"/>
    </row>
    <row r="413" spans="1:41" ht="13.5">
      <c r="A413" s="2"/>
      <c r="B413" s="2"/>
      <c r="C413" s="2"/>
      <c r="D413" s="2"/>
      <c r="E413" s="2"/>
      <c r="F413" s="2"/>
      <c r="G413" s="2"/>
      <c r="H413" s="40"/>
      <c r="I413" s="2"/>
      <c r="J413" s="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2"/>
      <c r="AJ413" s="2"/>
      <c r="AK413" s="2"/>
      <c r="AL413" s="2"/>
      <c r="AM413" s="2"/>
      <c r="AN413" s="2"/>
      <c r="AO413" s="2"/>
    </row>
    <row r="414" spans="1:41" ht="13.5">
      <c r="A414" s="2"/>
      <c r="B414" s="2"/>
      <c r="C414" s="2"/>
      <c r="D414" s="2"/>
      <c r="E414" s="2"/>
      <c r="F414" s="2"/>
      <c r="G414" s="2"/>
      <c r="H414" s="40"/>
      <c r="I414" s="2"/>
      <c r="J414" s="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2"/>
      <c r="AJ414" s="2"/>
      <c r="AK414" s="2"/>
      <c r="AL414" s="2"/>
      <c r="AM414" s="2"/>
      <c r="AN414" s="2"/>
      <c r="AO414" s="2"/>
    </row>
    <row r="415" spans="1:41" ht="13.5">
      <c r="A415" s="2"/>
      <c r="B415" s="2"/>
      <c r="C415" s="2"/>
      <c r="D415" s="2"/>
      <c r="E415" s="2"/>
      <c r="F415" s="2"/>
      <c r="G415" s="2"/>
      <c r="H415" s="40"/>
      <c r="I415" s="2"/>
      <c r="J415" s="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2"/>
      <c r="AJ415" s="2"/>
      <c r="AK415" s="2"/>
      <c r="AL415" s="2"/>
      <c r="AM415" s="2"/>
      <c r="AN415" s="2"/>
      <c r="AO415" s="2"/>
    </row>
    <row r="416" spans="1:41" ht="13.5">
      <c r="A416" s="2"/>
      <c r="B416" s="2"/>
      <c r="C416" s="2"/>
      <c r="D416" s="2"/>
      <c r="E416" s="2"/>
      <c r="F416" s="2"/>
      <c r="G416" s="2"/>
      <c r="H416" s="40"/>
      <c r="I416" s="2"/>
      <c r="J416" s="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2"/>
      <c r="AJ416" s="2"/>
      <c r="AK416" s="2"/>
      <c r="AL416" s="2"/>
      <c r="AM416" s="2"/>
      <c r="AN416" s="2"/>
      <c r="AO416" s="2"/>
    </row>
    <row r="417" spans="1:41" ht="13.5">
      <c r="A417" s="2"/>
      <c r="B417" s="2"/>
      <c r="C417" s="2"/>
      <c r="D417" s="2"/>
      <c r="E417" s="2"/>
      <c r="F417" s="2"/>
      <c r="G417" s="2"/>
      <c r="H417" s="40"/>
      <c r="I417" s="2"/>
      <c r="J417" s="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2"/>
      <c r="AJ417" s="2"/>
      <c r="AK417" s="2"/>
      <c r="AL417" s="2"/>
      <c r="AM417" s="2"/>
      <c r="AN417" s="2"/>
      <c r="AO417" s="2"/>
    </row>
    <row r="418" spans="1:41" ht="13.5">
      <c r="A418" s="2"/>
      <c r="B418" s="2"/>
      <c r="C418" s="2"/>
      <c r="D418" s="2"/>
      <c r="E418" s="2"/>
      <c r="F418" s="2"/>
      <c r="G418" s="2"/>
      <c r="H418" s="40"/>
      <c r="I418" s="2"/>
      <c r="J418" s="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2"/>
      <c r="AJ418" s="2"/>
      <c r="AK418" s="2"/>
      <c r="AL418" s="2"/>
      <c r="AM418" s="2"/>
      <c r="AN418" s="2"/>
      <c r="AO418" s="2"/>
    </row>
    <row r="419" spans="1:41" ht="13.5">
      <c r="A419" s="2"/>
      <c r="B419" s="2"/>
      <c r="C419" s="2"/>
      <c r="D419" s="2"/>
      <c r="E419" s="2"/>
      <c r="F419" s="2"/>
      <c r="G419" s="2"/>
      <c r="H419" s="40"/>
      <c r="I419" s="2"/>
      <c r="J419" s="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2"/>
      <c r="AJ419" s="2"/>
      <c r="AK419" s="2"/>
      <c r="AL419" s="2"/>
      <c r="AM419" s="2"/>
      <c r="AN419" s="2"/>
      <c r="AO419" s="2"/>
    </row>
    <row r="420" spans="1:41" ht="13.5">
      <c r="A420" s="2"/>
      <c r="B420" s="2"/>
      <c r="C420" s="2"/>
      <c r="D420" s="2"/>
      <c r="E420" s="2"/>
      <c r="F420" s="2"/>
      <c r="G420" s="2"/>
      <c r="H420" s="40"/>
      <c r="I420" s="2"/>
      <c r="J420" s="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2"/>
      <c r="AJ420" s="2"/>
      <c r="AK420" s="2"/>
      <c r="AL420" s="2"/>
      <c r="AM420" s="2"/>
      <c r="AN420" s="2"/>
      <c r="AO420" s="2"/>
    </row>
    <row r="421" spans="1:41" ht="13.5">
      <c r="A421" s="2"/>
      <c r="B421" s="2"/>
      <c r="C421" s="2"/>
      <c r="D421" s="2"/>
      <c r="E421" s="2"/>
      <c r="F421" s="2"/>
      <c r="G421" s="2"/>
      <c r="H421" s="40"/>
      <c r="I421" s="2"/>
      <c r="J421" s="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2"/>
      <c r="AJ421" s="2"/>
      <c r="AK421" s="2"/>
      <c r="AL421" s="2"/>
      <c r="AM421" s="2"/>
      <c r="AN421" s="2"/>
      <c r="AO421" s="2"/>
    </row>
    <row r="422" spans="1:41" ht="13.5">
      <c r="A422" s="2"/>
      <c r="B422" s="2"/>
      <c r="C422" s="2"/>
      <c r="D422" s="2"/>
      <c r="E422" s="2"/>
      <c r="F422" s="2"/>
      <c r="G422" s="2"/>
      <c r="H422" s="40"/>
      <c r="I422" s="2"/>
      <c r="J422" s="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2"/>
      <c r="AJ422" s="2"/>
      <c r="AK422" s="2"/>
      <c r="AL422" s="2"/>
      <c r="AM422" s="2"/>
      <c r="AN422" s="2"/>
      <c r="AO422" s="2"/>
    </row>
    <row r="423" spans="1:41" ht="13.5">
      <c r="A423" s="2"/>
      <c r="B423" s="2"/>
      <c r="C423" s="2"/>
      <c r="D423" s="2"/>
      <c r="E423" s="2"/>
      <c r="F423" s="2"/>
      <c r="G423" s="2"/>
      <c r="H423" s="40"/>
      <c r="I423" s="2"/>
      <c r="J423" s="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2"/>
      <c r="AJ423" s="2"/>
      <c r="AK423" s="2"/>
      <c r="AL423" s="2"/>
      <c r="AM423" s="2"/>
      <c r="AN423" s="2"/>
      <c r="AO423" s="2"/>
    </row>
    <row r="424" spans="1:41" ht="13.5">
      <c r="A424" s="2"/>
      <c r="B424" s="2"/>
      <c r="C424" s="2"/>
      <c r="D424" s="2"/>
      <c r="E424" s="2"/>
      <c r="F424" s="2"/>
      <c r="G424" s="2"/>
      <c r="H424" s="40"/>
      <c r="I424" s="2"/>
      <c r="J424" s="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2"/>
      <c r="AJ424" s="2"/>
      <c r="AK424" s="2"/>
      <c r="AL424" s="2"/>
      <c r="AM424" s="2"/>
      <c r="AN424" s="2"/>
      <c r="AO424" s="2"/>
    </row>
    <row r="425" spans="1:41" ht="13.5">
      <c r="A425" s="2"/>
      <c r="B425" s="2"/>
      <c r="C425" s="2"/>
      <c r="D425" s="2"/>
      <c r="E425" s="2"/>
      <c r="F425" s="2"/>
      <c r="G425" s="2"/>
      <c r="H425" s="40"/>
      <c r="I425" s="2"/>
      <c r="J425" s="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2"/>
      <c r="AJ425" s="2"/>
      <c r="AK425" s="2"/>
      <c r="AL425" s="2"/>
      <c r="AM425" s="2"/>
      <c r="AN425" s="2"/>
      <c r="AO425" s="2"/>
    </row>
    <row r="426" spans="1:41" ht="13.5">
      <c r="A426" s="2"/>
      <c r="B426" s="2"/>
      <c r="C426" s="2"/>
      <c r="D426" s="2"/>
      <c r="E426" s="2"/>
      <c r="F426" s="2"/>
      <c r="G426" s="2"/>
      <c r="H426" s="40"/>
      <c r="I426" s="2"/>
      <c r="J426" s="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2"/>
      <c r="AJ426" s="2"/>
      <c r="AK426" s="2"/>
      <c r="AL426" s="2"/>
      <c r="AM426" s="2"/>
      <c r="AN426" s="2"/>
      <c r="AO426" s="2"/>
    </row>
    <row r="427" spans="1:41" ht="13.5">
      <c r="A427" s="2"/>
      <c r="B427" s="2"/>
      <c r="C427" s="2"/>
      <c r="D427" s="2"/>
      <c r="E427" s="2"/>
      <c r="F427" s="2"/>
      <c r="G427" s="2"/>
      <c r="H427" s="40"/>
      <c r="I427" s="2"/>
      <c r="J427" s="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2"/>
      <c r="AJ427" s="2"/>
      <c r="AK427" s="2"/>
      <c r="AL427" s="2"/>
      <c r="AM427" s="2"/>
      <c r="AN427" s="2"/>
      <c r="AO427" s="2"/>
    </row>
    <row r="428" spans="1:41" ht="13.5">
      <c r="A428" s="2"/>
      <c r="B428" s="2"/>
      <c r="C428" s="2"/>
      <c r="D428" s="2"/>
      <c r="E428" s="2"/>
      <c r="F428" s="2"/>
      <c r="G428" s="2"/>
      <c r="H428" s="40"/>
      <c r="I428" s="2"/>
      <c r="J428" s="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2"/>
      <c r="AJ428" s="2"/>
      <c r="AK428" s="2"/>
      <c r="AL428" s="2"/>
      <c r="AM428" s="2"/>
      <c r="AN428" s="2"/>
      <c r="AO428" s="2"/>
    </row>
    <row r="429" spans="1:41" ht="13.5">
      <c r="A429" s="2"/>
      <c r="B429" s="2"/>
      <c r="C429" s="2"/>
      <c r="D429" s="2"/>
      <c r="E429" s="2"/>
      <c r="F429" s="2"/>
      <c r="G429" s="2"/>
      <c r="H429" s="40"/>
      <c r="I429" s="2"/>
      <c r="J429" s="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2"/>
      <c r="AJ429" s="2"/>
      <c r="AK429" s="2"/>
      <c r="AL429" s="2"/>
      <c r="AM429" s="2"/>
      <c r="AN429" s="2"/>
      <c r="AO429" s="2"/>
    </row>
    <row r="430" spans="1:41" ht="13.5">
      <c r="A430" s="2"/>
      <c r="B430" s="2"/>
      <c r="C430" s="2"/>
      <c r="D430" s="2"/>
      <c r="E430" s="2"/>
      <c r="F430" s="2"/>
      <c r="G430" s="2"/>
      <c r="H430" s="40"/>
      <c r="I430" s="2"/>
      <c r="J430" s="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2"/>
      <c r="AJ430" s="2"/>
      <c r="AK430" s="2"/>
      <c r="AL430" s="2"/>
      <c r="AM430" s="2"/>
      <c r="AN430" s="2"/>
      <c r="AO430" s="2"/>
    </row>
    <row r="431" spans="1:41" ht="13.5">
      <c r="A431" s="2"/>
      <c r="B431" s="2"/>
      <c r="C431" s="2"/>
      <c r="D431" s="2"/>
      <c r="E431" s="2"/>
      <c r="F431" s="2"/>
      <c r="G431" s="2"/>
      <c r="H431" s="40"/>
      <c r="I431" s="2"/>
      <c r="J431" s="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2"/>
      <c r="AJ431" s="2"/>
      <c r="AK431" s="2"/>
      <c r="AL431" s="2"/>
      <c r="AM431" s="2"/>
      <c r="AN431" s="2"/>
      <c r="AO431" s="2"/>
    </row>
    <row r="432" spans="1:41" ht="13.5">
      <c r="A432" s="2"/>
      <c r="B432" s="2"/>
      <c r="C432" s="2"/>
      <c r="D432" s="2"/>
      <c r="E432" s="2"/>
      <c r="F432" s="2"/>
      <c r="G432" s="2"/>
      <c r="H432" s="40"/>
      <c r="I432" s="2"/>
      <c r="J432" s="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2"/>
      <c r="AJ432" s="2"/>
      <c r="AK432" s="2"/>
      <c r="AL432" s="2"/>
      <c r="AM432" s="2"/>
      <c r="AN432" s="2"/>
      <c r="AO432" s="2"/>
    </row>
    <row r="433" spans="1:41" ht="13.5">
      <c r="A433" s="2"/>
      <c r="B433" s="2"/>
      <c r="C433" s="2"/>
      <c r="D433" s="2"/>
      <c r="E433" s="2"/>
      <c r="F433" s="2"/>
      <c r="G433" s="2"/>
      <c r="H433" s="40"/>
      <c r="I433" s="2"/>
      <c r="J433" s="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2"/>
      <c r="AJ433" s="2"/>
      <c r="AK433" s="2"/>
      <c r="AL433" s="2"/>
      <c r="AM433" s="2"/>
      <c r="AN433" s="2"/>
      <c r="AO433" s="2"/>
    </row>
    <row r="434" spans="1:41" ht="13.5">
      <c r="A434" s="2"/>
      <c r="B434" s="2"/>
      <c r="C434" s="2"/>
      <c r="D434" s="2"/>
      <c r="E434" s="2"/>
      <c r="F434" s="2"/>
      <c r="G434" s="2"/>
      <c r="H434" s="40"/>
      <c r="I434" s="2"/>
      <c r="J434" s="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2"/>
      <c r="AJ434" s="2"/>
      <c r="AK434" s="2"/>
      <c r="AL434" s="2"/>
      <c r="AM434" s="2"/>
      <c r="AN434" s="2"/>
      <c r="AO434" s="2"/>
    </row>
    <row r="435" spans="1:41" ht="13.5">
      <c r="A435" s="2"/>
      <c r="B435" s="2"/>
      <c r="C435" s="2"/>
      <c r="D435" s="2"/>
      <c r="E435" s="2"/>
      <c r="F435" s="2"/>
      <c r="G435" s="2"/>
      <c r="H435" s="40"/>
      <c r="I435" s="2"/>
      <c r="J435" s="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2"/>
      <c r="AJ435" s="2"/>
      <c r="AK435" s="2"/>
      <c r="AL435" s="2"/>
      <c r="AM435" s="2"/>
      <c r="AN435" s="2"/>
      <c r="AO435" s="2"/>
    </row>
    <row r="436" spans="1:41" ht="13.5">
      <c r="A436" s="2"/>
      <c r="B436" s="2"/>
      <c r="C436" s="2"/>
      <c r="D436" s="2"/>
      <c r="E436" s="2"/>
      <c r="F436" s="2"/>
      <c r="G436" s="2"/>
      <c r="H436" s="40"/>
      <c r="I436" s="2"/>
      <c r="J436" s="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2"/>
      <c r="AJ436" s="2"/>
      <c r="AK436" s="2"/>
      <c r="AL436" s="2"/>
      <c r="AM436" s="2"/>
      <c r="AN436" s="2"/>
      <c r="AO436" s="2"/>
    </row>
    <row r="437" spans="1:41" ht="13.5">
      <c r="A437" s="2"/>
      <c r="B437" s="2"/>
      <c r="C437" s="2"/>
      <c r="D437" s="2"/>
      <c r="E437" s="2"/>
      <c r="F437" s="2"/>
      <c r="G437" s="2"/>
      <c r="H437" s="40"/>
      <c r="I437" s="2"/>
      <c r="J437" s="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2"/>
      <c r="AJ437" s="2"/>
      <c r="AK437" s="2"/>
      <c r="AL437" s="2"/>
      <c r="AM437" s="2"/>
      <c r="AN437" s="2"/>
      <c r="AO437" s="2"/>
    </row>
    <row r="438" spans="1:41" ht="13.5">
      <c r="A438" s="2"/>
      <c r="B438" s="2"/>
      <c r="C438" s="2"/>
      <c r="D438" s="2"/>
      <c r="E438" s="2"/>
      <c r="F438" s="2"/>
      <c r="G438" s="2"/>
      <c r="H438" s="40"/>
      <c r="I438" s="2"/>
      <c r="J438" s="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2"/>
      <c r="AJ438" s="2"/>
      <c r="AK438" s="2"/>
      <c r="AL438" s="2"/>
      <c r="AM438" s="2"/>
      <c r="AN438" s="2"/>
      <c r="AO438" s="2"/>
    </row>
    <row r="439" spans="1:41" ht="13.5">
      <c r="A439" s="2"/>
      <c r="B439" s="2"/>
      <c r="C439" s="2"/>
      <c r="D439" s="2"/>
      <c r="E439" s="2"/>
      <c r="F439" s="2"/>
      <c r="G439" s="2"/>
      <c r="H439" s="40"/>
      <c r="I439" s="2"/>
      <c r="J439" s="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2"/>
      <c r="AJ439" s="2"/>
      <c r="AK439" s="2"/>
      <c r="AL439" s="2"/>
      <c r="AM439" s="2"/>
      <c r="AN439" s="2"/>
      <c r="AO439" s="2"/>
    </row>
    <row r="440" spans="1:41" ht="13.5">
      <c r="A440" s="2"/>
      <c r="B440" s="2"/>
      <c r="C440" s="2"/>
      <c r="D440" s="2"/>
      <c r="E440" s="2"/>
      <c r="F440" s="2"/>
      <c r="G440" s="2"/>
      <c r="H440" s="40"/>
      <c r="I440" s="2"/>
      <c r="J440" s="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2"/>
      <c r="AJ440" s="2"/>
      <c r="AK440" s="2"/>
      <c r="AL440" s="2"/>
      <c r="AM440" s="2"/>
      <c r="AN440" s="2"/>
      <c r="AO440" s="2"/>
    </row>
    <row r="441" spans="1:41" ht="13.5">
      <c r="A441" s="2"/>
      <c r="B441" s="2"/>
      <c r="C441" s="2"/>
      <c r="D441" s="2"/>
      <c r="E441" s="2"/>
      <c r="F441" s="2"/>
      <c r="G441" s="2"/>
      <c r="H441" s="40"/>
      <c r="I441" s="2"/>
      <c r="J441" s="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2"/>
      <c r="AJ441" s="2"/>
      <c r="AK441" s="2"/>
      <c r="AL441" s="2"/>
      <c r="AM441" s="2"/>
      <c r="AN441" s="2"/>
      <c r="AO441" s="2"/>
    </row>
    <row r="442" spans="1:41" ht="13.5">
      <c r="A442" s="2"/>
      <c r="B442" s="2"/>
      <c r="C442" s="2"/>
      <c r="D442" s="2"/>
      <c r="E442" s="2"/>
      <c r="F442" s="2"/>
      <c r="G442" s="2"/>
      <c r="H442" s="40"/>
      <c r="I442" s="2"/>
      <c r="J442" s="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2"/>
      <c r="AJ442" s="2"/>
      <c r="AK442" s="2"/>
      <c r="AL442" s="2"/>
      <c r="AM442" s="2"/>
      <c r="AN442" s="2"/>
      <c r="AO442" s="2"/>
    </row>
    <row r="443" spans="1:41" ht="13.5">
      <c r="A443" s="2"/>
      <c r="B443" s="2"/>
      <c r="C443" s="2"/>
      <c r="D443" s="2"/>
      <c r="E443" s="2"/>
      <c r="F443" s="2"/>
      <c r="G443" s="2"/>
      <c r="H443" s="40"/>
      <c r="I443" s="2"/>
      <c r="J443" s="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2"/>
      <c r="AJ443" s="2"/>
      <c r="AK443" s="2"/>
      <c r="AL443" s="2"/>
      <c r="AM443" s="2"/>
      <c r="AN443" s="2"/>
      <c r="AO443" s="2"/>
    </row>
    <row r="444" spans="1:41" ht="13.5">
      <c r="A444" s="2"/>
      <c r="B444" s="2"/>
      <c r="C444" s="2"/>
      <c r="D444" s="2"/>
      <c r="E444" s="2"/>
      <c r="F444" s="2"/>
      <c r="G444" s="2"/>
      <c r="H444" s="40"/>
      <c r="I444" s="2"/>
      <c r="J444" s="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2"/>
      <c r="AJ444" s="2"/>
      <c r="AK444" s="2"/>
      <c r="AL444" s="2"/>
      <c r="AM444" s="2"/>
      <c r="AN444" s="2"/>
      <c r="AO444" s="2"/>
    </row>
    <row r="445" spans="1:41" ht="13.5">
      <c r="A445" s="2"/>
      <c r="B445" s="2"/>
      <c r="C445" s="2"/>
      <c r="D445" s="2"/>
      <c r="E445" s="2"/>
      <c r="F445" s="2"/>
      <c r="G445" s="2"/>
      <c r="H445" s="40"/>
      <c r="I445" s="2"/>
      <c r="J445" s="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2"/>
      <c r="AJ445" s="2"/>
      <c r="AK445" s="2"/>
      <c r="AL445" s="2"/>
      <c r="AM445" s="2"/>
      <c r="AN445" s="2"/>
      <c r="AO445" s="2"/>
    </row>
    <row r="446" spans="1:41" ht="13.5">
      <c r="A446" s="2"/>
      <c r="B446" s="2"/>
      <c r="C446" s="2"/>
      <c r="D446" s="2"/>
      <c r="E446" s="2"/>
      <c r="F446" s="2"/>
      <c r="G446" s="2"/>
      <c r="H446" s="40"/>
      <c r="I446" s="2"/>
      <c r="J446" s="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2"/>
      <c r="AJ446" s="2"/>
      <c r="AK446" s="2"/>
      <c r="AL446" s="2"/>
      <c r="AM446" s="2"/>
      <c r="AN446" s="2"/>
      <c r="AO446" s="2"/>
    </row>
    <row r="447" spans="1:41" ht="13.5">
      <c r="A447" s="2"/>
      <c r="B447" s="2"/>
      <c r="C447" s="2"/>
      <c r="D447" s="2"/>
      <c r="E447" s="2"/>
      <c r="F447" s="2"/>
      <c r="G447" s="2"/>
      <c r="H447" s="40"/>
      <c r="I447" s="2"/>
      <c r="J447" s="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2"/>
      <c r="AJ447" s="2"/>
      <c r="AK447" s="2"/>
      <c r="AL447" s="2"/>
      <c r="AM447" s="2"/>
      <c r="AN447" s="2"/>
      <c r="AO447" s="2"/>
    </row>
    <row r="448" spans="1:41" ht="13.5">
      <c r="A448" s="2"/>
      <c r="B448" s="2"/>
      <c r="C448" s="2"/>
      <c r="D448" s="2"/>
      <c r="E448" s="2"/>
      <c r="F448" s="2"/>
      <c r="G448" s="2"/>
      <c r="H448" s="40"/>
      <c r="I448" s="2"/>
      <c r="J448" s="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2"/>
      <c r="AJ448" s="2"/>
      <c r="AK448" s="2"/>
      <c r="AL448" s="2"/>
      <c r="AM448" s="2"/>
      <c r="AN448" s="2"/>
      <c r="AO448" s="2"/>
    </row>
    <row r="449" spans="1:41" ht="13.5">
      <c r="A449" s="2"/>
      <c r="B449" s="2"/>
      <c r="C449" s="2"/>
      <c r="D449" s="2"/>
      <c r="E449" s="2"/>
      <c r="F449" s="2"/>
      <c r="G449" s="2"/>
      <c r="H449" s="40"/>
      <c r="I449" s="2"/>
      <c r="J449" s="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2"/>
      <c r="AJ449" s="2"/>
      <c r="AK449" s="2"/>
      <c r="AL449" s="2"/>
      <c r="AM449" s="2"/>
      <c r="AN449" s="2"/>
      <c r="AO449" s="2"/>
    </row>
    <row r="450" spans="1:41" ht="13.5">
      <c r="A450" s="2"/>
      <c r="B450" s="2"/>
      <c r="C450" s="2"/>
      <c r="D450" s="2"/>
      <c r="E450" s="2"/>
      <c r="F450" s="2"/>
      <c r="G450" s="2"/>
      <c r="H450" s="40"/>
      <c r="I450" s="2"/>
      <c r="J450" s="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2"/>
      <c r="AJ450" s="2"/>
      <c r="AK450" s="2"/>
      <c r="AL450" s="2"/>
      <c r="AM450" s="2"/>
      <c r="AN450" s="2"/>
      <c r="AO450" s="2"/>
    </row>
    <row r="451" spans="1:41" ht="13.5">
      <c r="A451" s="2"/>
      <c r="B451" s="2"/>
      <c r="C451" s="2"/>
      <c r="D451" s="2"/>
      <c r="E451" s="2"/>
      <c r="F451" s="2"/>
      <c r="G451" s="2"/>
      <c r="H451" s="40"/>
      <c r="I451" s="2"/>
      <c r="J451" s="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2"/>
      <c r="AJ451" s="2"/>
      <c r="AK451" s="2"/>
      <c r="AL451" s="2"/>
      <c r="AM451" s="2"/>
      <c r="AN451" s="2"/>
      <c r="AO451" s="2"/>
    </row>
    <row r="452" spans="1:41" ht="13.5">
      <c r="A452" s="2"/>
      <c r="B452" s="2"/>
      <c r="C452" s="2"/>
      <c r="D452" s="2"/>
      <c r="E452" s="2"/>
      <c r="F452" s="2"/>
      <c r="G452" s="2"/>
      <c r="H452" s="40"/>
      <c r="I452" s="2"/>
      <c r="J452" s="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2"/>
      <c r="AJ452" s="2"/>
      <c r="AK452" s="2"/>
      <c r="AL452" s="2"/>
      <c r="AM452" s="2"/>
      <c r="AN452" s="2"/>
      <c r="AO452" s="2"/>
    </row>
    <row r="453" spans="1:41" ht="13.5">
      <c r="A453" s="2"/>
      <c r="B453" s="2"/>
      <c r="C453" s="2"/>
      <c r="D453" s="2"/>
      <c r="E453" s="2"/>
      <c r="F453" s="2"/>
      <c r="G453" s="2"/>
      <c r="H453" s="40"/>
      <c r="I453" s="2"/>
      <c r="J453" s="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2"/>
      <c r="AJ453" s="2"/>
      <c r="AK453" s="2"/>
      <c r="AL453" s="2"/>
      <c r="AM453" s="2"/>
      <c r="AN453" s="2"/>
      <c r="AO453" s="2"/>
    </row>
    <row r="454" spans="1:41" ht="13.5">
      <c r="A454" s="2"/>
      <c r="B454" s="2"/>
      <c r="C454" s="2"/>
      <c r="D454" s="2"/>
      <c r="E454" s="2"/>
      <c r="F454" s="2"/>
      <c r="G454" s="2"/>
      <c r="H454" s="40"/>
      <c r="I454" s="2"/>
      <c r="J454" s="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2"/>
      <c r="AJ454" s="2"/>
      <c r="AK454" s="2"/>
      <c r="AL454" s="2"/>
      <c r="AM454" s="2"/>
      <c r="AN454" s="2"/>
      <c r="AO454" s="2"/>
    </row>
    <row r="455" spans="1:41" ht="13.5">
      <c r="A455" s="2"/>
      <c r="B455" s="2"/>
      <c r="C455" s="2"/>
      <c r="D455" s="2"/>
      <c r="E455" s="2"/>
      <c r="F455" s="2"/>
      <c r="G455" s="2"/>
      <c r="H455" s="40"/>
      <c r="I455" s="2"/>
      <c r="J455" s="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2"/>
      <c r="AJ455" s="2"/>
      <c r="AK455" s="2"/>
      <c r="AL455" s="2"/>
      <c r="AM455" s="2"/>
      <c r="AN455" s="2"/>
      <c r="AO455" s="2"/>
    </row>
    <row r="456" spans="1:41" ht="13.5">
      <c r="A456" s="2"/>
      <c r="B456" s="2"/>
      <c r="C456" s="2"/>
      <c r="D456" s="2"/>
      <c r="E456" s="2"/>
      <c r="F456" s="2"/>
      <c r="G456" s="2"/>
      <c r="H456" s="40"/>
      <c r="I456" s="2"/>
      <c r="J456" s="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2"/>
      <c r="AJ456" s="2"/>
      <c r="AK456" s="2"/>
      <c r="AL456" s="2"/>
      <c r="AM456" s="2"/>
      <c r="AN456" s="2"/>
      <c r="AO456" s="2"/>
    </row>
    <row r="457" spans="1:41" ht="13.5">
      <c r="A457" s="2"/>
      <c r="B457" s="2"/>
      <c r="C457" s="2"/>
      <c r="D457" s="2"/>
      <c r="E457" s="2"/>
      <c r="F457" s="2"/>
      <c r="G457" s="2"/>
      <c r="H457" s="40"/>
      <c r="I457" s="2"/>
      <c r="J457" s="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2"/>
      <c r="AJ457" s="2"/>
      <c r="AK457" s="2"/>
      <c r="AL457" s="2"/>
      <c r="AM457" s="2"/>
      <c r="AN457" s="2"/>
      <c r="AO457" s="2"/>
    </row>
    <row r="458" spans="1:41" ht="13.5">
      <c r="A458" s="2"/>
      <c r="B458" s="2"/>
      <c r="C458" s="2"/>
      <c r="D458" s="2"/>
      <c r="E458" s="2"/>
      <c r="F458" s="2"/>
      <c r="G458" s="2"/>
      <c r="H458" s="40"/>
      <c r="I458" s="2"/>
      <c r="J458" s="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2"/>
      <c r="AJ458" s="2"/>
      <c r="AK458" s="2"/>
      <c r="AL458" s="2"/>
      <c r="AM458" s="2"/>
      <c r="AN458" s="2"/>
      <c r="AO458" s="2"/>
    </row>
    <row r="459" spans="1:41" ht="13.5">
      <c r="A459" s="2"/>
      <c r="B459" s="2"/>
      <c r="C459" s="2"/>
      <c r="D459" s="2"/>
      <c r="E459" s="2"/>
      <c r="F459" s="2"/>
      <c r="G459" s="2"/>
      <c r="H459" s="40"/>
      <c r="I459" s="2"/>
      <c r="J459" s="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2"/>
      <c r="AJ459" s="2"/>
      <c r="AK459" s="2"/>
      <c r="AL459" s="2"/>
      <c r="AM459" s="2"/>
      <c r="AN459" s="2"/>
      <c r="AO459" s="2"/>
    </row>
    <row r="460" spans="1:41" ht="13.5">
      <c r="A460" s="2"/>
      <c r="B460" s="2"/>
      <c r="C460" s="2"/>
      <c r="D460" s="2"/>
      <c r="E460" s="2"/>
      <c r="F460" s="2"/>
      <c r="G460" s="2"/>
      <c r="H460" s="40"/>
      <c r="I460" s="2"/>
      <c r="J460" s="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2"/>
      <c r="AJ460" s="2"/>
      <c r="AK460" s="2"/>
      <c r="AL460" s="2"/>
      <c r="AM460" s="2"/>
      <c r="AN460" s="2"/>
      <c r="AO460" s="2"/>
    </row>
    <row r="461" spans="1:41" ht="13.5">
      <c r="A461" s="2"/>
      <c r="B461" s="2"/>
      <c r="C461" s="2"/>
      <c r="D461" s="2"/>
      <c r="E461" s="2"/>
      <c r="F461" s="2"/>
      <c r="G461" s="2"/>
      <c r="H461" s="40"/>
      <c r="I461" s="2"/>
      <c r="J461" s="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2"/>
      <c r="AJ461" s="2"/>
      <c r="AK461" s="2"/>
      <c r="AL461" s="2"/>
      <c r="AM461" s="2"/>
      <c r="AN461" s="2"/>
      <c r="AO461" s="2"/>
    </row>
    <row r="462" spans="1:41" ht="13.5">
      <c r="A462" s="2"/>
      <c r="B462" s="2"/>
      <c r="C462" s="2"/>
      <c r="D462" s="2"/>
      <c r="E462" s="2"/>
      <c r="F462" s="2"/>
      <c r="G462" s="2"/>
      <c r="H462" s="40"/>
      <c r="I462" s="2"/>
      <c r="J462" s="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2"/>
      <c r="AJ462" s="2"/>
      <c r="AK462" s="2"/>
      <c r="AL462" s="2"/>
      <c r="AM462" s="2"/>
      <c r="AN462" s="2"/>
      <c r="AO462" s="2"/>
    </row>
    <row r="463" spans="1:41" ht="13.5">
      <c r="A463" s="2"/>
      <c r="B463" s="2"/>
      <c r="C463" s="2"/>
      <c r="D463" s="2"/>
      <c r="E463" s="2"/>
      <c r="F463" s="2"/>
      <c r="G463" s="2"/>
      <c r="H463" s="40"/>
      <c r="I463" s="2"/>
      <c r="J463" s="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2"/>
      <c r="AJ463" s="2"/>
      <c r="AK463" s="2"/>
      <c r="AL463" s="2"/>
      <c r="AM463" s="2"/>
      <c r="AN463" s="2"/>
      <c r="AO463" s="2"/>
    </row>
    <row r="464" spans="1:41" ht="13.5">
      <c r="A464" s="2"/>
      <c r="B464" s="2"/>
      <c r="C464" s="2"/>
      <c r="D464" s="2"/>
      <c r="E464" s="2"/>
      <c r="F464" s="2"/>
      <c r="G464" s="2"/>
      <c r="H464" s="40"/>
      <c r="I464" s="2"/>
      <c r="J464" s="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2"/>
      <c r="AJ464" s="2"/>
      <c r="AK464" s="2"/>
      <c r="AL464" s="2"/>
      <c r="AM464" s="2"/>
      <c r="AN464" s="2"/>
      <c r="AO464" s="2"/>
    </row>
    <row r="465" spans="1:41" ht="13.5">
      <c r="A465" s="2"/>
      <c r="B465" s="2"/>
      <c r="C465" s="2"/>
      <c r="D465" s="2"/>
      <c r="E465" s="2"/>
      <c r="F465" s="2"/>
      <c r="G465" s="2"/>
      <c r="H465" s="40"/>
      <c r="I465" s="2"/>
      <c r="J465" s="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2"/>
      <c r="AJ465" s="2"/>
      <c r="AK465" s="2"/>
      <c r="AL465" s="2"/>
      <c r="AM465" s="2"/>
      <c r="AN465" s="2"/>
      <c r="AO465" s="2"/>
    </row>
    <row r="466" spans="1:41" ht="13.5">
      <c r="A466" s="2"/>
      <c r="B466" s="2"/>
      <c r="C466" s="2"/>
      <c r="D466" s="2"/>
      <c r="E466" s="2"/>
      <c r="F466" s="2"/>
      <c r="G466" s="2"/>
      <c r="H466" s="40"/>
      <c r="I466" s="2"/>
      <c r="J466" s="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2"/>
      <c r="AJ466" s="2"/>
      <c r="AK466" s="2"/>
      <c r="AL466" s="2"/>
      <c r="AM466" s="2"/>
      <c r="AN466" s="2"/>
      <c r="AO466" s="2"/>
    </row>
    <row r="467" spans="1:41" ht="13.5">
      <c r="A467" s="2"/>
      <c r="B467" s="2"/>
      <c r="C467" s="2"/>
      <c r="D467" s="2"/>
      <c r="E467" s="2"/>
      <c r="F467" s="2"/>
      <c r="G467" s="2"/>
      <c r="H467" s="40"/>
      <c r="I467" s="2"/>
      <c r="J467" s="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2"/>
      <c r="AJ467" s="2"/>
      <c r="AK467" s="2"/>
      <c r="AL467" s="2"/>
      <c r="AM467" s="2"/>
      <c r="AN467" s="2"/>
      <c r="AO467" s="2"/>
    </row>
    <row r="468" spans="1:41" ht="13.5">
      <c r="A468" s="2"/>
      <c r="B468" s="2"/>
      <c r="C468" s="2"/>
      <c r="D468" s="2"/>
      <c r="E468" s="2"/>
      <c r="F468" s="2"/>
      <c r="G468" s="2"/>
      <c r="H468" s="40"/>
      <c r="I468" s="2"/>
      <c r="J468" s="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2"/>
      <c r="AJ468" s="2"/>
      <c r="AK468" s="2"/>
      <c r="AL468" s="2"/>
      <c r="AM468" s="2"/>
      <c r="AN468" s="2"/>
      <c r="AO468" s="2"/>
    </row>
    <row r="469" spans="1:41" ht="13.5">
      <c r="A469" s="2"/>
      <c r="B469" s="2"/>
      <c r="C469" s="2"/>
      <c r="D469" s="2"/>
      <c r="E469" s="2"/>
      <c r="F469" s="2"/>
      <c r="G469" s="2"/>
      <c r="H469" s="40"/>
      <c r="I469" s="2"/>
      <c r="J469" s="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2"/>
      <c r="AJ469" s="2"/>
      <c r="AK469" s="2"/>
      <c r="AL469" s="2"/>
      <c r="AM469" s="2"/>
      <c r="AN469" s="2"/>
      <c r="AO469" s="2"/>
    </row>
    <row r="470" spans="1:41" ht="13.5">
      <c r="A470" s="2"/>
      <c r="B470" s="2"/>
      <c r="C470" s="2"/>
      <c r="D470" s="2"/>
      <c r="E470" s="2"/>
      <c r="F470" s="2"/>
      <c r="G470" s="2"/>
      <c r="H470" s="40"/>
      <c r="I470" s="2"/>
      <c r="J470" s="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2"/>
      <c r="AJ470" s="2"/>
      <c r="AK470" s="2"/>
      <c r="AL470" s="2"/>
      <c r="AM470" s="2"/>
      <c r="AN470" s="2"/>
      <c r="AO470" s="2"/>
    </row>
    <row r="471" spans="1:41" ht="13.5">
      <c r="A471" s="2"/>
      <c r="B471" s="2"/>
      <c r="C471" s="2"/>
      <c r="D471" s="2"/>
      <c r="E471" s="2"/>
      <c r="F471" s="2"/>
      <c r="G471" s="2"/>
      <c r="H471" s="40"/>
      <c r="I471" s="2"/>
      <c r="J471" s="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2"/>
      <c r="AJ471" s="2"/>
      <c r="AK471" s="2"/>
      <c r="AL471" s="2"/>
      <c r="AM471" s="2"/>
      <c r="AN471" s="2"/>
      <c r="AO471" s="2"/>
    </row>
    <row r="472" spans="1:41" ht="13.5">
      <c r="A472" s="2"/>
      <c r="B472" s="2"/>
      <c r="C472" s="2"/>
      <c r="D472" s="2"/>
      <c r="E472" s="2"/>
      <c r="F472" s="2"/>
      <c r="G472" s="2"/>
      <c r="H472" s="40"/>
      <c r="I472" s="2"/>
      <c r="J472" s="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2"/>
      <c r="AJ472" s="2"/>
      <c r="AK472" s="2"/>
      <c r="AL472" s="2"/>
      <c r="AM472" s="2"/>
      <c r="AN472" s="2"/>
      <c r="AO472" s="2"/>
    </row>
    <row r="473" spans="1:41" ht="13.5">
      <c r="A473" s="2"/>
      <c r="B473" s="2"/>
      <c r="C473" s="2"/>
      <c r="D473" s="2"/>
      <c r="E473" s="2"/>
      <c r="F473" s="2"/>
      <c r="G473" s="2"/>
      <c r="H473" s="40"/>
      <c r="I473" s="2"/>
      <c r="J473" s="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2"/>
      <c r="AJ473" s="2"/>
      <c r="AK473" s="2"/>
      <c r="AL473" s="2"/>
      <c r="AM473" s="2"/>
      <c r="AN473" s="2"/>
      <c r="AO473" s="2"/>
    </row>
    <row r="474" spans="1:41" ht="13.5">
      <c r="A474" s="2"/>
      <c r="B474" s="2"/>
      <c r="C474" s="2"/>
      <c r="D474" s="2"/>
      <c r="E474" s="2"/>
      <c r="F474" s="2"/>
      <c r="G474" s="2"/>
      <c r="H474" s="40"/>
      <c r="I474" s="2"/>
      <c r="J474" s="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2"/>
      <c r="AJ474" s="2"/>
      <c r="AK474" s="2"/>
      <c r="AL474" s="2"/>
      <c r="AM474" s="2"/>
      <c r="AN474" s="2"/>
      <c r="AO474" s="2"/>
    </row>
    <row r="475" spans="1:41" ht="13.5">
      <c r="A475" s="2"/>
      <c r="B475" s="2"/>
      <c r="C475" s="2"/>
      <c r="D475" s="2"/>
      <c r="E475" s="2"/>
      <c r="F475" s="2"/>
      <c r="G475" s="2"/>
      <c r="H475" s="40"/>
      <c r="I475" s="2"/>
      <c r="J475" s="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2"/>
      <c r="AJ475" s="2"/>
      <c r="AK475" s="2"/>
      <c r="AL475" s="2"/>
      <c r="AM475" s="2"/>
      <c r="AN475" s="2"/>
      <c r="AO475" s="2"/>
    </row>
    <row r="476" spans="1:41" ht="13.5">
      <c r="A476" s="2"/>
      <c r="B476" s="2"/>
      <c r="C476" s="2"/>
      <c r="D476" s="2"/>
      <c r="E476" s="2"/>
      <c r="F476" s="2"/>
      <c r="G476" s="2"/>
      <c r="H476" s="40"/>
      <c r="I476" s="2"/>
      <c r="J476" s="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2"/>
      <c r="AJ476" s="2"/>
      <c r="AK476" s="2"/>
      <c r="AL476" s="2"/>
      <c r="AM476" s="2"/>
      <c r="AN476" s="2"/>
      <c r="AO476" s="2"/>
    </row>
    <row r="477" spans="1:41" ht="13.5">
      <c r="A477" s="2"/>
      <c r="B477" s="2"/>
      <c r="C477" s="2"/>
      <c r="D477" s="2"/>
      <c r="E477" s="2"/>
      <c r="F477" s="2"/>
      <c r="G477" s="2"/>
      <c r="H477" s="40"/>
      <c r="I477" s="2"/>
      <c r="J477" s="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2"/>
      <c r="AJ477" s="2"/>
      <c r="AK477" s="2"/>
      <c r="AL477" s="2"/>
      <c r="AM477" s="2"/>
      <c r="AN477" s="2"/>
      <c r="AO477" s="2"/>
    </row>
    <row r="478" spans="1:41" ht="13.5">
      <c r="A478" s="2"/>
      <c r="B478" s="2"/>
      <c r="C478" s="2"/>
      <c r="D478" s="2"/>
      <c r="E478" s="2"/>
      <c r="F478" s="2"/>
      <c r="G478" s="2"/>
      <c r="H478" s="40"/>
      <c r="I478" s="2"/>
      <c r="J478" s="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2"/>
      <c r="AJ478" s="2"/>
      <c r="AK478" s="2"/>
      <c r="AL478" s="2"/>
      <c r="AM478" s="2"/>
      <c r="AN478" s="2"/>
      <c r="AO478" s="2"/>
    </row>
    <row r="479" spans="1:41" ht="13.5">
      <c r="A479" s="2"/>
      <c r="B479" s="2"/>
      <c r="C479" s="2"/>
      <c r="D479" s="2"/>
      <c r="E479" s="2"/>
      <c r="F479" s="2"/>
      <c r="G479" s="2"/>
      <c r="H479" s="40"/>
      <c r="I479" s="2"/>
      <c r="J479" s="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2"/>
      <c r="AJ479" s="2"/>
      <c r="AK479" s="2"/>
      <c r="AL479" s="2"/>
      <c r="AM479" s="2"/>
      <c r="AN479" s="2"/>
      <c r="AO479" s="2"/>
    </row>
    <row r="480" spans="1:41" ht="13.5">
      <c r="A480" s="2"/>
      <c r="B480" s="2"/>
      <c r="C480" s="2"/>
      <c r="D480" s="2"/>
      <c r="E480" s="2"/>
      <c r="F480" s="2"/>
      <c r="G480" s="2"/>
      <c r="H480" s="40"/>
      <c r="I480" s="2"/>
      <c r="J480" s="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2"/>
      <c r="AJ480" s="2"/>
      <c r="AK480" s="2"/>
      <c r="AL480" s="2"/>
      <c r="AM480" s="2"/>
      <c r="AN480" s="2"/>
      <c r="AO480" s="2"/>
    </row>
    <row r="481" spans="1:41" ht="13.5">
      <c r="A481" s="2"/>
      <c r="B481" s="2"/>
      <c r="C481" s="2"/>
      <c r="D481" s="2"/>
      <c r="E481" s="2"/>
      <c r="F481" s="2"/>
      <c r="G481" s="2"/>
      <c r="H481" s="40"/>
      <c r="I481" s="2"/>
      <c r="J481" s="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2"/>
      <c r="AJ481" s="2"/>
      <c r="AK481" s="2"/>
      <c r="AL481" s="2"/>
      <c r="AM481" s="2"/>
      <c r="AN481" s="2"/>
      <c r="AO481" s="2"/>
    </row>
    <row r="482" spans="1:41" ht="13.5">
      <c r="A482" s="2"/>
      <c r="B482" s="2"/>
      <c r="C482" s="2"/>
      <c r="D482" s="2"/>
      <c r="E482" s="2"/>
      <c r="F482" s="2"/>
      <c r="G482" s="2"/>
      <c r="H482" s="40"/>
      <c r="I482" s="2"/>
      <c r="J482" s="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2"/>
      <c r="AJ482" s="2"/>
      <c r="AK482" s="2"/>
      <c r="AL482" s="2"/>
      <c r="AM482" s="2"/>
      <c r="AN482" s="2"/>
      <c r="AO482" s="2"/>
    </row>
    <row r="483" spans="1:41" ht="13.5">
      <c r="A483" s="2"/>
      <c r="B483" s="2"/>
      <c r="C483" s="2"/>
      <c r="D483" s="2"/>
      <c r="E483" s="2"/>
      <c r="F483" s="2"/>
      <c r="G483" s="2"/>
      <c r="H483" s="40"/>
      <c r="I483" s="2"/>
      <c r="J483" s="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2"/>
      <c r="AJ483" s="2"/>
      <c r="AK483" s="2"/>
      <c r="AL483" s="2"/>
      <c r="AM483" s="2"/>
      <c r="AN483" s="2"/>
      <c r="AO483" s="2"/>
    </row>
    <row r="484" spans="1:41" ht="13.5">
      <c r="A484" s="2"/>
      <c r="B484" s="2"/>
      <c r="C484" s="2"/>
      <c r="D484" s="2"/>
      <c r="E484" s="2"/>
      <c r="F484" s="2"/>
      <c r="G484" s="2"/>
      <c r="H484" s="40"/>
      <c r="I484" s="2"/>
      <c r="J484" s="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2"/>
      <c r="AJ484" s="2"/>
      <c r="AK484" s="2"/>
      <c r="AL484" s="2"/>
      <c r="AM484" s="2"/>
      <c r="AN484" s="2"/>
      <c r="AO484" s="2"/>
    </row>
    <row r="485" spans="1:41" ht="13.5">
      <c r="A485" s="2"/>
      <c r="B485" s="2"/>
      <c r="C485" s="2"/>
      <c r="D485" s="2"/>
      <c r="E485" s="2"/>
      <c r="F485" s="2"/>
      <c r="G485" s="2"/>
      <c r="H485" s="40"/>
      <c r="I485" s="2"/>
      <c r="J485" s="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2"/>
      <c r="AJ485" s="2"/>
      <c r="AK485" s="2"/>
      <c r="AL485" s="2"/>
      <c r="AM485" s="2"/>
      <c r="AN485" s="2"/>
      <c r="AO485" s="2"/>
    </row>
    <row r="486" spans="1:41" ht="13.5">
      <c r="A486" s="2"/>
      <c r="B486" s="2"/>
      <c r="C486" s="2"/>
      <c r="D486" s="2"/>
      <c r="E486" s="2"/>
      <c r="F486" s="2"/>
      <c r="G486" s="2"/>
      <c r="H486" s="40"/>
      <c r="I486" s="2"/>
      <c r="J486" s="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2"/>
      <c r="AJ486" s="2"/>
      <c r="AK486" s="2"/>
      <c r="AL486" s="2"/>
      <c r="AM486" s="2"/>
      <c r="AN486" s="2"/>
      <c r="AO486" s="2"/>
    </row>
    <row r="487" spans="1:41" ht="13.5">
      <c r="A487" s="2"/>
      <c r="B487" s="2"/>
      <c r="C487" s="2"/>
      <c r="D487" s="2"/>
      <c r="E487" s="2"/>
      <c r="F487" s="2"/>
      <c r="G487" s="2"/>
      <c r="H487" s="40"/>
      <c r="I487" s="2"/>
      <c r="J487" s="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2"/>
      <c r="AJ487" s="2"/>
      <c r="AK487" s="2"/>
      <c r="AL487" s="2"/>
      <c r="AM487" s="2"/>
      <c r="AN487" s="2"/>
      <c r="AO487" s="2"/>
    </row>
    <row r="488" spans="1:41" ht="13.5">
      <c r="A488" s="2"/>
      <c r="B488" s="2"/>
      <c r="C488" s="2"/>
      <c r="D488" s="2"/>
      <c r="E488" s="2"/>
      <c r="F488" s="2"/>
      <c r="G488" s="2"/>
      <c r="H488" s="40"/>
      <c r="I488" s="2"/>
      <c r="J488" s="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2"/>
      <c r="AJ488" s="2"/>
      <c r="AK488" s="2"/>
      <c r="AL488" s="2"/>
      <c r="AM488" s="2"/>
      <c r="AN488" s="2"/>
      <c r="AO488" s="2"/>
    </row>
    <row r="489" spans="1:41" ht="13.5">
      <c r="A489" s="2"/>
      <c r="B489" s="2"/>
      <c r="C489" s="2"/>
      <c r="D489" s="2"/>
      <c r="E489" s="2"/>
      <c r="F489" s="2"/>
      <c r="G489" s="2"/>
      <c r="H489" s="40"/>
      <c r="I489" s="2"/>
      <c r="J489" s="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2"/>
      <c r="AJ489" s="2"/>
      <c r="AK489" s="2"/>
      <c r="AL489" s="2"/>
      <c r="AM489" s="2"/>
      <c r="AN489" s="2"/>
      <c r="AO489" s="2"/>
    </row>
    <row r="490" spans="1:41" ht="13.5">
      <c r="A490" s="2"/>
      <c r="B490" s="2"/>
      <c r="C490" s="2"/>
      <c r="D490" s="2"/>
      <c r="E490" s="2"/>
      <c r="F490" s="2"/>
      <c r="G490" s="2"/>
      <c r="H490" s="40"/>
      <c r="I490" s="2"/>
      <c r="J490" s="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2"/>
      <c r="AJ490" s="2"/>
      <c r="AK490" s="2"/>
      <c r="AL490" s="2"/>
      <c r="AM490" s="2"/>
      <c r="AN490" s="2"/>
      <c r="AO490" s="2"/>
    </row>
    <row r="491" spans="1:41" ht="13.5">
      <c r="A491" s="2"/>
      <c r="B491" s="2"/>
      <c r="C491" s="2"/>
      <c r="D491" s="2"/>
      <c r="E491" s="2"/>
      <c r="F491" s="2"/>
      <c r="G491" s="2"/>
      <c r="H491" s="40"/>
      <c r="I491" s="2"/>
      <c r="J491" s="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2"/>
      <c r="AJ491" s="2"/>
      <c r="AK491" s="2"/>
      <c r="AL491" s="2"/>
      <c r="AM491" s="2"/>
      <c r="AN491" s="2"/>
      <c r="AO491" s="2"/>
    </row>
    <row r="492" spans="1:41" ht="13.5">
      <c r="A492" s="2"/>
      <c r="B492" s="2"/>
      <c r="C492" s="2"/>
      <c r="D492" s="2"/>
      <c r="E492" s="2"/>
      <c r="F492" s="2"/>
      <c r="G492" s="2"/>
      <c r="H492" s="40"/>
      <c r="I492" s="2"/>
      <c r="J492" s="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2"/>
      <c r="AJ492" s="2"/>
      <c r="AK492" s="2"/>
      <c r="AL492" s="2"/>
      <c r="AM492" s="2"/>
      <c r="AN492" s="2"/>
      <c r="AO492" s="2"/>
    </row>
    <row r="493" spans="1:41" ht="13.5">
      <c r="A493" s="2"/>
      <c r="B493" s="2"/>
      <c r="C493" s="2"/>
      <c r="D493" s="2"/>
      <c r="E493" s="2"/>
      <c r="F493" s="2"/>
      <c r="G493" s="2"/>
      <c r="H493" s="40"/>
      <c r="I493" s="2"/>
      <c r="J493" s="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2"/>
      <c r="AJ493" s="2"/>
      <c r="AK493" s="2"/>
      <c r="AL493" s="2"/>
      <c r="AM493" s="2"/>
      <c r="AN493" s="2"/>
      <c r="AO493" s="2"/>
    </row>
    <row r="494" spans="1:41" ht="13.5">
      <c r="A494" s="2"/>
      <c r="B494" s="2"/>
      <c r="C494" s="2"/>
      <c r="D494" s="2"/>
      <c r="E494" s="2"/>
      <c r="F494" s="2"/>
      <c r="G494" s="2"/>
      <c r="H494" s="40"/>
      <c r="I494" s="2"/>
      <c r="J494" s="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2"/>
      <c r="AJ494" s="2"/>
      <c r="AK494" s="2"/>
      <c r="AL494" s="2"/>
      <c r="AM494" s="2"/>
      <c r="AN494" s="2"/>
      <c r="AO494" s="2"/>
    </row>
    <row r="495" spans="1:41" ht="13.5">
      <c r="A495" s="2"/>
      <c r="B495" s="2"/>
      <c r="C495" s="2"/>
      <c r="D495" s="2"/>
      <c r="E495" s="2"/>
      <c r="F495" s="2"/>
      <c r="G495" s="2"/>
      <c r="H495" s="40"/>
      <c r="I495" s="2"/>
      <c r="J495" s="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2"/>
      <c r="AJ495" s="2"/>
      <c r="AK495" s="2"/>
      <c r="AL495" s="2"/>
      <c r="AM495" s="2"/>
      <c r="AN495" s="2"/>
      <c r="AO495" s="2"/>
    </row>
    <row r="496" spans="1:41" ht="13.5">
      <c r="A496" s="2"/>
      <c r="B496" s="2"/>
      <c r="C496" s="2"/>
      <c r="D496" s="2"/>
      <c r="E496" s="2"/>
      <c r="F496" s="2"/>
      <c r="G496" s="2"/>
      <c r="H496" s="40"/>
      <c r="I496" s="2"/>
      <c r="J496" s="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2"/>
      <c r="AJ496" s="2"/>
      <c r="AK496" s="2"/>
      <c r="AL496" s="2"/>
      <c r="AM496" s="2"/>
      <c r="AN496" s="2"/>
      <c r="AO496" s="2"/>
    </row>
    <row r="497" spans="1:41" ht="13.5">
      <c r="A497" s="2"/>
      <c r="B497" s="2"/>
      <c r="C497" s="2"/>
      <c r="D497" s="2"/>
      <c r="E497" s="2"/>
      <c r="F497" s="2"/>
      <c r="G497" s="2"/>
      <c r="H497" s="40"/>
      <c r="I497" s="2"/>
      <c r="J497" s="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2"/>
      <c r="AJ497" s="2"/>
      <c r="AK497" s="2"/>
      <c r="AL497" s="2"/>
      <c r="AM497" s="2"/>
      <c r="AN497" s="2"/>
      <c r="AO497" s="2"/>
    </row>
    <row r="498" spans="1:41" ht="13.5">
      <c r="A498" s="2"/>
      <c r="B498" s="2"/>
      <c r="C498" s="2"/>
      <c r="D498" s="2"/>
      <c r="E498" s="2"/>
      <c r="F498" s="2"/>
      <c r="G498" s="2"/>
      <c r="H498" s="40"/>
      <c r="I498" s="2"/>
      <c r="J498" s="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2"/>
      <c r="AJ498" s="2"/>
      <c r="AK498" s="2"/>
      <c r="AL498" s="2"/>
      <c r="AM498" s="2"/>
      <c r="AN498" s="2"/>
      <c r="AO498" s="2"/>
    </row>
    <row r="499" spans="1:41" ht="13.5">
      <c r="A499" s="2"/>
      <c r="B499" s="2"/>
      <c r="C499" s="2"/>
      <c r="D499" s="2"/>
      <c r="E499" s="2"/>
      <c r="F499" s="2"/>
      <c r="G499" s="2"/>
      <c r="H499" s="40"/>
      <c r="I499" s="2"/>
      <c r="J499" s="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2"/>
      <c r="AJ499" s="2"/>
      <c r="AK499" s="2"/>
      <c r="AL499" s="2"/>
      <c r="AM499" s="2"/>
      <c r="AN499" s="2"/>
      <c r="AO499" s="2"/>
    </row>
    <row r="500" spans="1:41" ht="13.5">
      <c r="A500" s="2"/>
      <c r="B500" s="2"/>
      <c r="C500" s="2"/>
      <c r="D500" s="2"/>
      <c r="E500" s="2"/>
      <c r="F500" s="2"/>
      <c r="G500" s="2"/>
      <c r="H500" s="40"/>
      <c r="I500" s="2"/>
      <c r="J500" s="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2"/>
      <c r="AJ500" s="2"/>
      <c r="AK500" s="2"/>
      <c r="AL500" s="2"/>
      <c r="AM500" s="2"/>
      <c r="AN500" s="2"/>
      <c r="AO500" s="2"/>
    </row>
    <row r="501" spans="1:41" ht="13.5">
      <c r="A501" s="2"/>
      <c r="B501" s="2"/>
      <c r="C501" s="2"/>
      <c r="D501" s="2"/>
      <c r="E501" s="2"/>
      <c r="F501" s="2"/>
      <c r="G501" s="2"/>
      <c r="H501" s="40"/>
      <c r="I501" s="2"/>
      <c r="J501" s="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2"/>
      <c r="AJ501" s="2"/>
      <c r="AK501" s="2"/>
      <c r="AL501" s="2"/>
      <c r="AM501" s="2"/>
      <c r="AN501" s="2"/>
      <c r="AO501" s="2"/>
    </row>
    <row r="502" spans="1:41" ht="13.5">
      <c r="A502" s="2"/>
      <c r="B502" s="2"/>
      <c r="C502" s="2"/>
      <c r="D502" s="2"/>
      <c r="E502" s="2"/>
      <c r="F502" s="2"/>
      <c r="G502" s="2"/>
      <c r="H502" s="40"/>
      <c r="I502" s="2"/>
      <c r="J502" s="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2"/>
      <c r="AJ502" s="2"/>
      <c r="AK502" s="2"/>
      <c r="AL502" s="2"/>
      <c r="AM502" s="2"/>
      <c r="AN502" s="2"/>
      <c r="AO502" s="2"/>
    </row>
    <row r="503" spans="1:41" ht="13.5">
      <c r="A503" s="2"/>
      <c r="B503" s="2"/>
      <c r="C503" s="2"/>
      <c r="D503" s="2"/>
      <c r="E503" s="2"/>
      <c r="F503" s="2"/>
      <c r="G503" s="2"/>
      <c r="H503" s="40"/>
      <c r="I503" s="2"/>
      <c r="J503" s="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2"/>
      <c r="AJ503" s="2"/>
      <c r="AK503" s="2"/>
      <c r="AL503" s="2"/>
      <c r="AM503" s="2"/>
      <c r="AN503" s="2"/>
      <c r="AO503" s="2"/>
    </row>
    <row r="504" spans="1:41" ht="13.5">
      <c r="A504" s="2"/>
      <c r="B504" s="2"/>
      <c r="C504" s="2"/>
      <c r="D504" s="2"/>
      <c r="E504" s="2"/>
      <c r="F504" s="2"/>
      <c r="G504" s="2"/>
      <c r="H504" s="40"/>
      <c r="I504" s="2"/>
      <c r="J504" s="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2"/>
      <c r="AJ504" s="2"/>
      <c r="AK504" s="2"/>
      <c r="AL504" s="2"/>
      <c r="AM504" s="2"/>
      <c r="AN504" s="2"/>
      <c r="AO504" s="2"/>
    </row>
    <row r="505" spans="1:41" ht="13.5">
      <c r="A505" s="2"/>
      <c r="B505" s="2"/>
      <c r="C505" s="2"/>
      <c r="D505" s="2"/>
      <c r="E505" s="2"/>
      <c r="F505" s="2"/>
      <c r="G505" s="2"/>
      <c r="H505" s="40"/>
      <c r="I505" s="2"/>
      <c r="J505" s="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2"/>
      <c r="AJ505" s="2"/>
      <c r="AK505" s="2"/>
      <c r="AL505" s="2"/>
      <c r="AM505" s="2"/>
      <c r="AN505" s="2"/>
      <c r="AO505" s="2"/>
    </row>
    <row r="506" spans="1:41" ht="13.5">
      <c r="A506" s="2"/>
      <c r="B506" s="2"/>
      <c r="C506" s="2"/>
      <c r="D506" s="2"/>
      <c r="E506" s="2"/>
      <c r="F506" s="2"/>
      <c r="G506" s="2"/>
      <c r="H506" s="40"/>
      <c r="I506" s="2"/>
      <c r="J506" s="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2"/>
      <c r="AJ506" s="2"/>
      <c r="AK506" s="2"/>
      <c r="AL506" s="2"/>
      <c r="AM506" s="2"/>
      <c r="AN506" s="2"/>
      <c r="AO506" s="2"/>
    </row>
    <row r="507" spans="1:41" ht="13.5">
      <c r="A507" s="2"/>
      <c r="B507" s="2"/>
      <c r="C507" s="2"/>
      <c r="D507" s="2"/>
      <c r="E507" s="2"/>
      <c r="F507" s="2"/>
      <c r="G507" s="2"/>
      <c r="H507" s="40"/>
      <c r="I507" s="2"/>
      <c r="J507" s="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2"/>
      <c r="AJ507" s="2"/>
      <c r="AK507" s="2"/>
      <c r="AL507" s="2"/>
      <c r="AM507" s="2"/>
      <c r="AN507" s="2"/>
      <c r="AO507" s="2"/>
    </row>
    <row r="508" spans="1:41" ht="13.5">
      <c r="A508" s="2"/>
      <c r="B508" s="2"/>
      <c r="C508" s="2"/>
      <c r="D508" s="2"/>
      <c r="E508" s="2"/>
      <c r="F508" s="2"/>
      <c r="G508" s="2"/>
      <c r="H508" s="40"/>
      <c r="I508" s="2"/>
      <c r="J508" s="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2"/>
      <c r="AJ508" s="2"/>
      <c r="AK508" s="2"/>
      <c r="AL508" s="2"/>
      <c r="AM508" s="2"/>
      <c r="AN508" s="2"/>
      <c r="AO508" s="2"/>
    </row>
    <row r="509" spans="1:41" ht="13.5">
      <c r="A509" s="2"/>
      <c r="B509" s="2"/>
      <c r="C509" s="2"/>
      <c r="D509" s="2"/>
      <c r="E509" s="2"/>
      <c r="F509" s="2"/>
      <c r="G509" s="2"/>
      <c r="H509" s="40"/>
      <c r="I509" s="2"/>
      <c r="J509" s="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2"/>
      <c r="AJ509" s="2"/>
      <c r="AK509" s="2"/>
      <c r="AL509" s="2"/>
      <c r="AM509" s="2"/>
      <c r="AN509" s="2"/>
      <c r="AO509" s="2"/>
    </row>
    <row r="510" spans="1:41" ht="13.5">
      <c r="A510" s="2"/>
      <c r="B510" s="2"/>
      <c r="C510" s="2"/>
      <c r="D510" s="2"/>
      <c r="E510" s="2"/>
      <c r="F510" s="2"/>
      <c r="G510" s="2"/>
      <c r="H510" s="40"/>
      <c r="I510" s="2"/>
      <c r="J510" s="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2"/>
      <c r="AJ510" s="2"/>
      <c r="AK510" s="2"/>
      <c r="AL510" s="2"/>
      <c r="AM510" s="2"/>
      <c r="AN510" s="2"/>
      <c r="AO510" s="2"/>
    </row>
    <row r="511" spans="1:41" ht="13.5">
      <c r="A511" s="2"/>
      <c r="B511" s="2"/>
      <c r="C511" s="2"/>
      <c r="D511" s="2"/>
      <c r="E511" s="2"/>
      <c r="F511" s="2"/>
      <c r="G511" s="2"/>
      <c r="H511" s="40"/>
      <c r="I511" s="2"/>
      <c r="J511" s="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2"/>
      <c r="AJ511" s="2"/>
      <c r="AK511" s="2"/>
      <c r="AL511" s="2"/>
      <c r="AM511" s="2"/>
      <c r="AN511" s="2"/>
      <c r="AO511" s="2"/>
    </row>
    <row r="512" spans="1:41" ht="13.5">
      <c r="A512" s="2"/>
      <c r="B512" s="2"/>
      <c r="C512" s="2"/>
      <c r="D512" s="2"/>
      <c r="E512" s="2"/>
      <c r="F512" s="2"/>
      <c r="G512" s="2"/>
      <c r="H512" s="40"/>
      <c r="I512" s="2"/>
      <c r="J512" s="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2"/>
      <c r="AJ512" s="2"/>
      <c r="AK512" s="2"/>
      <c r="AL512" s="2"/>
      <c r="AM512" s="2"/>
      <c r="AN512" s="2"/>
      <c r="AO512" s="2"/>
    </row>
    <row r="513" spans="1:41" ht="13.5">
      <c r="A513" s="2"/>
      <c r="B513" s="2"/>
      <c r="C513" s="2"/>
      <c r="D513" s="2"/>
      <c r="E513" s="2"/>
      <c r="F513" s="2"/>
      <c r="G513" s="2"/>
      <c r="H513" s="40"/>
      <c r="I513" s="2"/>
      <c r="J513" s="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2"/>
      <c r="AJ513" s="2"/>
      <c r="AK513" s="2"/>
      <c r="AL513" s="2"/>
      <c r="AM513" s="2"/>
      <c r="AN513" s="2"/>
      <c r="AO513" s="2"/>
    </row>
    <row r="514" spans="1:41" ht="13.5">
      <c r="A514" s="2"/>
      <c r="B514" s="2"/>
      <c r="C514" s="2"/>
      <c r="D514" s="2"/>
      <c r="E514" s="2"/>
      <c r="F514" s="2"/>
      <c r="G514" s="2"/>
      <c r="H514" s="40"/>
      <c r="I514" s="2"/>
      <c r="J514" s="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2"/>
      <c r="AJ514" s="2"/>
      <c r="AK514" s="2"/>
      <c r="AL514" s="2"/>
      <c r="AM514" s="2"/>
      <c r="AN514" s="2"/>
      <c r="AO514" s="2"/>
    </row>
    <row r="515" spans="1:41" ht="13.5">
      <c r="A515" s="2"/>
      <c r="B515" s="2"/>
      <c r="C515" s="2"/>
      <c r="D515" s="2"/>
      <c r="E515" s="2"/>
      <c r="F515" s="2"/>
      <c r="G515" s="2"/>
      <c r="H515" s="40"/>
      <c r="I515" s="2"/>
      <c r="J515" s="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2"/>
      <c r="AJ515" s="2"/>
      <c r="AK515" s="2"/>
      <c r="AL515" s="2"/>
      <c r="AM515" s="2"/>
      <c r="AN515" s="2"/>
      <c r="AO515" s="2"/>
    </row>
    <row r="516" spans="1:41" ht="13.5">
      <c r="A516" s="2"/>
      <c r="B516" s="2"/>
      <c r="C516" s="2"/>
      <c r="D516" s="2"/>
      <c r="E516" s="2"/>
      <c r="F516" s="2"/>
      <c r="G516" s="2"/>
      <c r="H516" s="40"/>
      <c r="I516" s="2"/>
      <c r="J516" s="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2"/>
      <c r="AJ516" s="2"/>
      <c r="AK516" s="2"/>
      <c r="AL516" s="2"/>
      <c r="AM516" s="2"/>
      <c r="AN516" s="2"/>
      <c r="AO516" s="2"/>
    </row>
    <row r="517" spans="1:41" ht="13.5">
      <c r="A517" s="2"/>
      <c r="B517" s="2"/>
      <c r="C517" s="2"/>
      <c r="D517" s="2"/>
      <c r="E517" s="2"/>
      <c r="F517" s="2"/>
      <c r="G517" s="2"/>
      <c r="H517" s="40"/>
      <c r="I517" s="2"/>
      <c r="J517" s="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2"/>
      <c r="AJ517" s="2"/>
      <c r="AK517" s="2"/>
      <c r="AL517" s="2"/>
      <c r="AM517" s="2"/>
      <c r="AN517" s="2"/>
      <c r="AO517" s="2"/>
    </row>
    <row r="518" spans="1:41" ht="13.5">
      <c r="A518" s="2"/>
      <c r="B518" s="2"/>
      <c r="C518" s="2"/>
      <c r="D518" s="2"/>
      <c r="E518" s="2"/>
      <c r="F518" s="2"/>
      <c r="G518" s="2"/>
      <c r="H518" s="40"/>
      <c r="I518" s="2"/>
      <c r="J518" s="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2"/>
      <c r="AJ518" s="2"/>
      <c r="AK518" s="2"/>
      <c r="AL518" s="2"/>
      <c r="AM518" s="2"/>
      <c r="AN518" s="2"/>
      <c r="AO518" s="2"/>
    </row>
    <row r="519" spans="1:41" ht="13.5">
      <c r="A519" s="2"/>
      <c r="B519" s="2"/>
      <c r="C519" s="2"/>
      <c r="D519" s="2"/>
      <c r="E519" s="2"/>
      <c r="F519" s="2"/>
      <c r="G519" s="2"/>
      <c r="H519" s="40"/>
      <c r="I519" s="2"/>
      <c r="J519" s="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2"/>
      <c r="AJ519" s="2"/>
      <c r="AK519" s="2"/>
      <c r="AL519" s="2"/>
      <c r="AM519" s="2"/>
      <c r="AN519" s="2"/>
      <c r="AO519" s="2"/>
    </row>
    <row r="520" spans="1:41" ht="13.5">
      <c r="A520" s="2"/>
      <c r="B520" s="2"/>
      <c r="C520" s="2"/>
      <c r="D520" s="2"/>
      <c r="E520" s="2"/>
      <c r="F520" s="2"/>
      <c r="G520" s="2"/>
      <c r="H520" s="40"/>
      <c r="I520" s="2"/>
      <c r="J520" s="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2"/>
      <c r="AJ520" s="2"/>
      <c r="AK520" s="2"/>
      <c r="AL520" s="2"/>
      <c r="AM520" s="2"/>
      <c r="AN520" s="2"/>
      <c r="AO520" s="2"/>
    </row>
    <row r="521" spans="1:41" ht="13.5">
      <c r="A521" s="2"/>
      <c r="B521" s="2"/>
      <c r="C521" s="2"/>
      <c r="D521" s="2"/>
      <c r="E521" s="2"/>
      <c r="F521" s="2"/>
      <c r="G521" s="2"/>
      <c r="H521" s="40"/>
      <c r="I521" s="2"/>
      <c r="J521" s="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2"/>
      <c r="AJ521" s="2"/>
      <c r="AK521" s="2"/>
      <c r="AL521" s="2"/>
      <c r="AM521" s="2"/>
      <c r="AN521" s="2"/>
      <c r="AO521" s="2"/>
    </row>
    <row r="522" spans="1:41" ht="13.5">
      <c r="A522" s="2"/>
      <c r="B522" s="2"/>
      <c r="C522" s="2"/>
      <c r="D522" s="2"/>
      <c r="E522" s="2"/>
      <c r="F522" s="2"/>
      <c r="G522" s="2"/>
      <c r="H522" s="40"/>
      <c r="I522" s="2"/>
      <c r="J522" s="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2"/>
      <c r="AJ522" s="2"/>
      <c r="AK522" s="2"/>
      <c r="AL522" s="2"/>
      <c r="AM522" s="2"/>
      <c r="AN522" s="2"/>
      <c r="AO522" s="2"/>
    </row>
    <row r="523" spans="1:41" ht="13.5">
      <c r="A523" s="2"/>
      <c r="B523" s="2"/>
      <c r="C523" s="2"/>
      <c r="D523" s="2"/>
      <c r="E523" s="2"/>
      <c r="F523" s="2"/>
      <c r="G523" s="2"/>
      <c r="H523" s="40"/>
      <c r="I523" s="2"/>
      <c r="J523" s="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2"/>
      <c r="AJ523" s="2"/>
      <c r="AK523" s="2"/>
      <c r="AL523" s="2"/>
      <c r="AM523" s="2"/>
      <c r="AN523" s="2"/>
      <c r="AO523" s="2"/>
    </row>
    <row r="524" spans="1:41" ht="13.5">
      <c r="A524" s="2"/>
      <c r="B524" s="2"/>
      <c r="C524" s="2"/>
      <c r="D524" s="2"/>
      <c r="E524" s="2"/>
      <c r="F524" s="2"/>
      <c r="G524" s="2"/>
      <c r="H524" s="40"/>
      <c r="I524" s="2"/>
      <c r="J524" s="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2"/>
      <c r="AJ524" s="2"/>
      <c r="AK524" s="2"/>
      <c r="AL524" s="2"/>
      <c r="AM524" s="2"/>
      <c r="AN524" s="2"/>
      <c r="AO524" s="2"/>
    </row>
    <row r="525" spans="1:41" ht="13.5">
      <c r="A525" s="2"/>
      <c r="B525" s="2"/>
      <c r="C525" s="2"/>
      <c r="D525" s="2"/>
      <c r="E525" s="2"/>
      <c r="F525" s="2"/>
      <c r="G525" s="2"/>
      <c r="H525" s="40"/>
      <c r="I525" s="2"/>
      <c r="J525" s="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2"/>
      <c r="AJ525" s="2"/>
      <c r="AK525" s="2"/>
      <c r="AL525" s="2"/>
      <c r="AM525" s="2"/>
      <c r="AN525" s="2"/>
      <c r="AO525" s="2"/>
    </row>
    <row r="526" spans="1:41" ht="13.5">
      <c r="A526" s="2"/>
      <c r="B526" s="2"/>
      <c r="C526" s="2"/>
      <c r="D526" s="2"/>
      <c r="E526" s="2"/>
      <c r="F526" s="2"/>
      <c r="G526" s="2"/>
      <c r="H526" s="40"/>
      <c r="I526" s="2"/>
      <c r="J526" s="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2"/>
      <c r="AJ526" s="2"/>
      <c r="AK526" s="2"/>
      <c r="AL526" s="2"/>
      <c r="AM526" s="2"/>
      <c r="AN526" s="2"/>
      <c r="AO526" s="2"/>
    </row>
    <row r="527" spans="1:41" ht="13.5">
      <c r="A527" s="2"/>
      <c r="B527" s="2"/>
      <c r="C527" s="2"/>
      <c r="D527" s="2"/>
      <c r="E527" s="2"/>
      <c r="F527" s="2"/>
      <c r="G527" s="2"/>
      <c r="H527" s="40"/>
      <c r="I527" s="2"/>
      <c r="J527" s="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2"/>
      <c r="AJ527" s="2"/>
      <c r="AK527" s="2"/>
      <c r="AL527" s="2"/>
      <c r="AM527" s="2"/>
      <c r="AN527" s="2"/>
      <c r="AO527" s="2"/>
    </row>
    <row r="528" spans="1:41" ht="13.5">
      <c r="A528" s="2"/>
      <c r="B528" s="2"/>
      <c r="C528" s="2"/>
      <c r="D528" s="2"/>
      <c r="E528" s="2"/>
      <c r="F528" s="2"/>
      <c r="G528" s="2"/>
      <c r="H528" s="40"/>
      <c r="I528" s="2"/>
      <c r="J528" s="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2"/>
      <c r="AJ528" s="2"/>
      <c r="AK528" s="2"/>
      <c r="AL528" s="2"/>
      <c r="AM528" s="2"/>
      <c r="AN528" s="2"/>
      <c r="AO528" s="2"/>
    </row>
    <row r="529" spans="1:41" ht="13.5">
      <c r="A529" s="2"/>
      <c r="B529" s="2"/>
      <c r="C529" s="2"/>
      <c r="D529" s="2"/>
      <c r="E529" s="2"/>
      <c r="F529" s="2"/>
      <c r="G529" s="2"/>
      <c r="H529" s="40"/>
      <c r="I529" s="2"/>
      <c r="J529" s="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2"/>
      <c r="AJ529" s="2"/>
      <c r="AK529" s="2"/>
      <c r="AL529" s="2"/>
      <c r="AM529" s="2"/>
      <c r="AN529" s="2"/>
      <c r="AO529" s="2"/>
    </row>
    <row r="530" spans="1:41" ht="13.5">
      <c r="A530" s="2"/>
      <c r="B530" s="2"/>
      <c r="C530" s="2"/>
      <c r="D530" s="2"/>
      <c r="E530" s="2"/>
      <c r="F530" s="2"/>
      <c r="G530" s="2"/>
      <c r="H530" s="40"/>
      <c r="I530" s="2"/>
      <c r="J530" s="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2"/>
      <c r="AJ530" s="2"/>
      <c r="AK530" s="2"/>
      <c r="AL530" s="2"/>
      <c r="AM530" s="2"/>
      <c r="AN530" s="2"/>
      <c r="AO530" s="2"/>
    </row>
    <row r="531" spans="1:41" ht="13.5">
      <c r="A531" s="2"/>
      <c r="B531" s="2"/>
      <c r="C531" s="2"/>
      <c r="D531" s="2"/>
      <c r="E531" s="2"/>
      <c r="F531" s="2"/>
      <c r="G531" s="2"/>
      <c r="H531" s="40"/>
      <c r="I531" s="2"/>
      <c r="J531" s="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2"/>
      <c r="AJ531" s="2"/>
      <c r="AK531" s="2"/>
      <c r="AL531" s="2"/>
      <c r="AM531" s="2"/>
      <c r="AN531" s="2"/>
      <c r="AO531" s="2"/>
    </row>
    <row r="532" spans="1:41" ht="13.5">
      <c r="A532" s="2"/>
      <c r="B532" s="2"/>
      <c r="C532" s="2"/>
      <c r="D532" s="2"/>
      <c r="E532" s="2"/>
      <c r="F532" s="2"/>
      <c r="G532" s="2"/>
      <c r="H532" s="40"/>
      <c r="I532" s="2"/>
      <c r="J532" s="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2"/>
      <c r="AJ532" s="2"/>
      <c r="AK532" s="2"/>
      <c r="AL532" s="2"/>
      <c r="AM532" s="2"/>
      <c r="AN532" s="2"/>
      <c r="AO532" s="2"/>
    </row>
    <row r="533" spans="1:41" ht="13.5">
      <c r="A533" s="2"/>
      <c r="B533" s="2"/>
      <c r="C533" s="2"/>
      <c r="D533" s="2"/>
      <c r="E533" s="2"/>
      <c r="F533" s="2"/>
      <c r="G533" s="2"/>
      <c r="H533" s="40"/>
      <c r="I533" s="2"/>
      <c r="J533" s="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2"/>
      <c r="AJ533" s="2"/>
      <c r="AK533" s="2"/>
      <c r="AL533" s="2"/>
      <c r="AM533" s="2"/>
      <c r="AN533" s="2"/>
      <c r="AO533" s="2"/>
    </row>
    <row r="534" spans="1:41" ht="13.5">
      <c r="A534" s="2"/>
      <c r="B534" s="2"/>
      <c r="C534" s="2"/>
      <c r="D534" s="2"/>
      <c r="E534" s="2"/>
      <c r="F534" s="2"/>
      <c r="G534" s="2"/>
      <c r="H534" s="40"/>
      <c r="I534" s="2"/>
      <c r="J534" s="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2"/>
      <c r="AJ534" s="2"/>
      <c r="AK534" s="2"/>
      <c r="AL534" s="2"/>
      <c r="AM534" s="2"/>
      <c r="AN534" s="2"/>
      <c r="AO534" s="2"/>
    </row>
    <row r="535" spans="1:41" ht="13.5">
      <c r="A535" s="2"/>
      <c r="B535" s="2"/>
      <c r="C535" s="2"/>
      <c r="D535" s="2"/>
      <c r="E535" s="2"/>
      <c r="F535" s="2"/>
      <c r="G535" s="2"/>
      <c r="H535" s="40"/>
      <c r="I535" s="2"/>
      <c r="J535" s="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2"/>
      <c r="AJ535" s="2"/>
      <c r="AK535" s="2"/>
      <c r="AL535" s="2"/>
      <c r="AM535" s="2"/>
      <c r="AN535" s="2"/>
      <c r="AO535" s="2"/>
    </row>
    <row r="536" spans="1:41" ht="13.5">
      <c r="A536" s="2"/>
      <c r="B536" s="2"/>
      <c r="C536" s="2"/>
      <c r="D536" s="2"/>
      <c r="E536" s="2"/>
      <c r="F536" s="2"/>
      <c r="G536" s="2"/>
      <c r="H536" s="40"/>
      <c r="I536" s="2"/>
      <c r="J536" s="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2"/>
      <c r="AJ536" s="2"/>
      <c r="AK536" s="2"/>
      <c r="AL536" s="2"/>
      <c r="AM536" s="2"/>
      <c r="AN536" s="2"/>
      <c r="AO536" s="2"/>
    </row>
    <row r="537" spans="1:41" ht="13.5">
      <c r="A537" s="2"/>
      <c r="B537" s="2"/>
      <c r="C537" s="2"/>
      <c r="D537" s="2"/>
      <c r="E537" s="2"/>
      <c r="F537" s="2"/>
      <c r="G537" s="2"/>
      <c r="H537" s="40"/>
      <c r="I537" s="2"/>
      <c r="J537" s="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2"/>
      <c r="AJ537" s="2"/>
      <c r="AK537" s="2"/>
      <c r="AL537" s="2"/>
      <c r="AM537" s="2"/>
      <c r="AN537" s="2"/>
      <c r="AO537" s="2"/>
    </row>
    <row r="538" spans="1:41" ht="13.5">
      <c r="A538" s="2"/>
      <c r="B538" s="2"/>
      <c r="C538" s="2"/>
      <c r="D538" s="2"/>
      <c r="E538" s="2"/>
      <c r="F538" s="2"/>
      <c r="G538" s="2"/>
      <c r="H538" s="40"/>
      <c r="I538" s="2"/>
      <c r="J538" s="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2"/>
      <c r="AJ538" s="2"/>
      <c r="AK538" s="2"/>
      <c r="AL538" s="2"/>
      <c r="AM538" s="2"/>
      <c r="AN538" s="2"/>
      <c r="AO538" s="2"/>
    </row>
    <row r="539" spans="1:41" ht="13.5">
      <c r="A539" s="2"/>
      <c r="B539" s="2"/>
      <c r="C539" s="2"/>
      <c r="D539" s="2"/>
      <c r="E539" s="2"/>
      <c r="F539" s="2"/>
      <c r="G539" s="2"/>
      <c r="H539" s="40"/>
      <c r="I539" s="2"/>
      <c r="J539" s="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2"/>
      <c r="AJ539" s="2"/>
      <c r="AK539" s="2"/>
      <c r="AL539" s="2"/>
      <c r="AM539" s="2"/>
      <c r="AN539" s="2"/>
      <c r="AO539" s="2"/>
    </row>
    <row r="540" spans="1:41" ht="13.5">
      <c r="A540" s="2"/>
      <c r="B540" s="2"/>
      <c r="C540" s="2"/>
      <c r="D540" s="2"/>
      <c r="E540" s="2"/>
      <c r="F540" s="2"/>
      <c r="G540" s="2"/>
      <c r="H540" s="40"/>
      <c r="I540" s="2"/>
      <c r="J540" s="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2"/>
      <c r="AJ540" s="2"/>
      <c r="AK540" s="2"/>
      <c r="AL540" s="2"/>
      <c r="AM540" s="2"/>
      <c r="AN540" s="2"/>
      <c r="AO540" s="2"/>
    </row>
    <row r="541" spans="1:41" ht="13.5">
      <c r="A541" s="2"/>
      <c r="B541" s="2"/>
      <c r="C541" s="2"/>
      <c r="D541" s="2"/>
      <c r="E541" s="2"/>
      <c r="F541" s="2"/>
      <c r="G541" s="2"/>
      <c r="H541" s="40"/>
      <c r="I541" s="2"/>
      <c r="J541" s="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2"/>
      <c r="AJ541" s="2"/>
      <c r="AK541" s="2"/>
      <c r="AL541" s="2"/>
      <c r="AM541" s="2"/>
      <c r="AN541" s="2"/>
      <c r="AO541" s="2"/>
    </row>
    <row r="542" spans="1:41" ht="13.5">
      <c r="A542" s="2"/>
      <c r="B542" s="2"/>
      <c r="C542" s="2"/>
      <c r="D542" s="2"/>
      <c r="E542" s="2"/>
      <c r="F542" s="2"/>
      <c r="G542" s="2"/>
      <c r="H542" s="40"/>
      <c r="I542" s="2"/>
      <c r="J542" s="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2"/>
      <c r="AJ542" s="2"/>
      <c r="AK542" s="2"/>
      <c r="AL542" s="2"/>
      <c r="AM542" s="2"/>
      <c r="AN542" s="2"/>
      <c r="AO542" s="2"/>
    </row>
    <row r="543" spans="1:41" ht="13.5">
      <c r="A543" s="2"/>
      <c r="B543" s="2"/>
      <c r="C543" s="2"/>
      <c r="D543" s="2"/>
      <c r="E543" s="2"/>
      <c r="F543" s="2"/>
      <c r="G543" s="2"/>
      <c r="H543" s="40"/>
      <c r="I543" s="2"/>
      <c r="J543" s="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2"/>
      <c r="AJ543" s="2"/>
      <c r="AK543" s="2"/>
      <c r="AL543" s="2"/>
      <c r="AM543" s="2"/>
      <c r="AN543" s="2"/>
      <c r="AO543" s="2"/>
    </row>
    <row r="544" spans="1:41" ht="13.5">
      <c r="A544" s="2"/>
      <c r="B544" s="2"/>
      <c r="C544" s="2"/>
      <c r="D544" s="2"/>
      <c r="E544" s="2"/>
      <c r="F544" s="2"/>
      <c r="G544" s="2"/>
      <c r="H544" s="40"/>
      <c r="I544" s="2"/>
      <c r="J544" s="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2"/>
      <c r="AJ544" s="2"/>
      <c r="AK544" s="2"/>
      <c r="AL544" s="2"/>
      <c r="AM544" s="2"/>
      <c r="AN544" s="2"/>
      <c r="AO544" s="2"/>
    </row>
    <row r="545" spans="1:41" ht="13.5">
      <c r="A545" s="2"/>
      <c r="B545" s="2"/>
      <c r="C545" s="2"/>
      <c r="D545" s="2"/>
      <c r="E545" s="2"/>
      <c r="F545" s="2"/>
      <c r="G545" s="2"/>
      <c r="H545" s="40"/>
      <c r="I545" s="2"/>
      <c r="J545" s="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2"/>
      <c r="AJ545" s="2"/>
      <c r="AK545" s="2"/>
      <c r="AL545" s="2"/>
      <c r="AM545" s="2"/>
      <c r="AN545" s="2"/>
      <c r="AO545" s="2"/>
    </row>
    <row r="546" spans="1:41" ht="13.5">
      <c r="A546" s="2"/>
      <c r="B546" s="2"/>
      <c r="C546" s="2"/>
      <c r="D546" s="2"/>
      <c r="E546" s="2"/>
      <c r="F546" s="2"/>
      <c r="G546" s="2"/>
      <c r="H546" s="40"/>
      <c r="I546" s="2"/>
      <c r="J546" s="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2"/>
      <c r="AJ546" s="2"/>
      <c r="AK546" s="2"/>
      <c r="AL546" s="2"/>
      <c r="AM546" s="2"/>
      <c r="AN546" s="2"/>
      <c r="AO546" s="2"/>
    </row>
    <row r="547" spans="1:41" ht="13.5">
      <c r="A547" s="2"/>
      <c r="B547" s="2"/>
      <c r="C547" s="2"/>
      <c r="D547" s="2"/>
      <c r="E547" s="2"/>
      <c r="F547" s="2"/>
      <c r="G547" s="2"/>
      <c r="H547" s="40"/>
      <c r="I547" s="2"/>
      <c r="J547" s="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2"/>
      <c r="AJ547" s="2"/>
      <c r="AK547" s="2"/>
      <c r="AL547" s="2"/>
      <c r="AM547" s="2"/>
      <c r="AN547" s="2"/>
      <c r="AO547" s="2"/>
    </row>
    <row r="548" spans="1:41" ht="13.5">
      <c r="A548" s="2"/>
      <c r="B548" s="2"/>
      <c r="C548" s="2"/>
      <c r="D548" s="2"/>
      <c r="E548" s="2"/>
      <c r="F548" s="2"/>
      <c r="G548" s="2"/>
      <c r="H548" s="40"/>
      <c r="I548" s="2"/>
      <c r="J548" s="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2"/>
      <c r="AJ548" s="2"/>
      <c r="AK548" s="2"/>
      <c r="AL548" s="2"/>
      <c r="AM548" s="2"/>
      <c r="AN548" s="2"/>
      <c r="AO548" s="2"/>
    </row>
    <row r="549" spans="1:41" ht="13.5">
      <c r="A549" s="2"/>
      <c r="B549" s="2"/>
      <c r="C549" s="2"/>
      <c r="D549" s="2"/>
      <c r="E549" s="2"/>
      <c r="F549" s="2"/>
      <c r="G549" s="2"/>
      <c r="H549" s="40"/>
      <c r="I549" s="2"/>
      <c r="J549" s="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2"/>
      <c r="AJ549" s="2"/>
      <c r="AK549" s="2"/>
      <c r="AL549" s="2"/>
      <c r="AM549" s="2"/>
      <c r="AN549" s="2"/>
      <c r="AO549" s="2"/>
    </row>
    <row r="550" spans="1:41" ht="13.5">
      <c r="A550" s="2"/>
      <c r="B550" s="2"/>
      <c r="C550" s="2"/>
      <c r="D550" s="2"/>
      <c r="E550" s="2"/>
      <c r="F550" s="2"/>
      <c r="G550" s="2"/>
      <c r="H550" s="40"/>
      <c r="I550" s="2"/>
      <c r="J550" s="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2"/>
      <c r="AJ550" s="2"/>
      <c r="AK550" s="2"/>
      <c r="AL550" s="2"/>
      <c r="AM550" s="2"/>
      <c r="AN550" s="2"/>
      <c r="AO550" s="2"/>
    </row>
    <row r="551" spans="1:41" ht="13.5">
      <c r="A551" s="2"/>
      <c r="B551" s="2"/>
      <c r="C551" s="2"/>
      <c r="D551" s="2"/>
      <c r="E551" s="2"/>
      <c r="F551" s="2"/>
      <c r="G551" s="2"/>
      <c r="H551" s="40"/>
      <c r="I551" s="2"/>
      <c r="J551" s="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2"/>
      <c r="AJ551" s="2"/>
      <c r="AK551" s="2"/>
      <c r="AL551" s="2"/>
      <c r="AM551" s="2"/>
      <c r="AN551" s="2"/>
      <c r="AO551" s="2"/>
    </row>
    <row r="552" spans="1:41" ht="13.5">
      <c r="A552" s="2"/>
      <c r="B552" s="2"/>
      <c r="C552" s="2"/>
      <c r="D552" s="2"/>
      <c r="E552" s="2"/>
      <c r="F552" s="2"/>
      <c r="G552" s="2"/>
      <c r="H552" s="40"/>
      <c r="I552" s="2"/>
      <c r="J552" s="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2"/>
      <c r="AJ552" s="2"/>
      <c r="AK552" s="2"/>
      <c r="AL552" s="2"/>
      <c r="AM552" s="2"/>
      <c r="AN552" s="2"/>
      <c r="AO552" s="2"/>
    </row>
    <row r="553" spans="1:41" ht="13.5">
      <c r="A553" s="2"/>
      <c r="B553" s="2"/>
      <c r="C553" s="2"/>
      <c r="D553" s="2"/>
      <c r="E553" s="2"/>
      <c r="F553" s="2"/>
      <c r="G553" s="2"/>
      <c r="H553" s="40"/>
      <c r="I553" s="2"/>
      <c r="J553" s="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2"/>
      <c r="AJ553" s="2"/>
      <c r="AK553" s="2"/>
      <c r="AL553" s="2"/>
      <c r="AM553" s="2"/>
      <c r="AN553" s="2"/>
      <c r="AO553" s="2"/>
    </row>
    <row r="554" spans="1:41" ht="13.5">
      <c r="A554" s="2"/>
      <c r="B554" s="2"/>
      <c r="C554" s="2"/>
      <c r="D554" s="2"/>
      <c r="E554" s="2"/>
      <c r="F554" s="2"/>
      <c r="G554" s="2"/>
      <c r="H554" s="40"/>
      <c r="I554" s="2"/>
      <c r="J554" s="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2"/>
      <c r="AJ554" s="2"/>
      <c r="AK554" s="2"/>
      <c r="AL554" s="2"/>
      <c r="AM554" s="2"/>
      <c r="AN554" s="2"/>
      <c r="AO554" s="2"/>
    </row>
    <row r="555" spans="1:41" ht="13.5">
      <c r="A555" s="2"/>
      <c r="B555" s="2"/>
      <c r="C555" s="2"/>
      <c r="D555" s="2"/>
      <c r="E555" s="2"/>
      <c r="F555" s="2"/>
      <c r="G555" s="2"/>
      <c r="H555" s="40"/>
      <c r="I555" s="2"/>
      <c r="J555" s="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2"/>
      <c r="AJ555" s="2"/>
      <c r="AK555" s="2"/>
      <c r="AL555" s="2"/>
      <c r="AM555" s="2"/>
      <c r="AN555" s="2"/>
      <c r="AO555" s="2"/>
    </row>
    <row r="556" spans="1:41" ht="13.5">
      <c r="A556" s="2"/>
      <c r="B556" s="2"/>
      <c r="C556" s="2"/>
      <c r="D556" s="2"/>
      <c r="E556" s="2"/>
      <c r="F556" s="2"/>
      <c r="G556" s="2"/>
      <c r="H556" s="40"/>
      <c r="I556" s="2"/>
      <c r="J556" s="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2"/>
      <c r="AJ556" s="2"/>
      <c r="AK556" s="2"/>
      <c r="AL556" s="2"/>
      <c r="AM556" s="2"/>
      <c r="AN556" s="2"/>
      <c r="AO556" s="2"/>
    </row>
    <row r="557" spans="1:41" ht="13.5">
      <c r="A557" s="2"/>
      <c r="B557" s="2"/>
      <c r="C557" s="2"/>
      <c r="D557" s="2"/>
      <c r="E557" s="2"/>
      <c r="F557" s="2"/>
      <c r="G557" s="2"/>
      <c r="H557" s="40"/>
      <c r="I557" s="2"/>
      <c r="J557" s="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2"/>
      <c r="AJ557" s="2"/>
      <c r="AK557" s="2"/>
      <c r="AL557" s="2"/>
      <c r="AM557" s="2"/>
      <c r="AN557" s="2"/>
      <c r="AO557" s="2"/>
    </row>
    <row r="558" spans="1:41" ht="13.5">
      <c r="A558" s="2"/>
      <c r="B558" s="2"/>
      <c r="C558" s="2"/>
      <c r="D558" s="2"/>
      <c r="E558" s="2"/>
      <c r="F558" s="2"/>
      <c r="G558" s="2"/>
      <c r="H558" s="40"/>
      <c r="I558" s="2"/>
      <c r="J558" s="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2"/>
      <c r="AJ558" s="2"/>
      <c r="AK558" s="2"/>
      <c r="AL558" s="2"/>
      <c r="AM558" s="2"/>
      <c r="AN558" s="2"/>
      <c r="AO558" s="2"/>
    </row>
    <row r="559" spans="1:41" ht="13.5">
      <c r="A559" s="2"/>
      <c r="B559" s="2"/>
      <c r="C559" s="2"/>
      <c r="D559" s="2"/>
      <c r="E559" s="2"/>
      <c r="F559" s="2"/>
      <c r="G559" s="2"/>
      <c r="H559" s="40"/>
      <c r="I559" s="2"/>
      <c r="J559" s="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2"/>
      <c r="AJ559" s="2"/>
      <c r="AK559" s="2"/>
      <c r="AL559" s="2"/>
      <c r="AM559" s="2"/>
      <c r="AN559" s="2"/>
      <c r="AO559" s="2"/>
    </row>
    <row r="560" spans="1:41" ht="13.5">
      <c r="A560" s="2"/>
      <c r="B560" s="2"/>
      <c r="C560" s="2"/>
      <c r="D560" s="2"/>
      <c r="E560" s="2"/>
      <c r="F560" s="2"/>
      <c r="G560" s="2"/>
      <c r="H560" s="40"/>
      <c r="I560" s="2"/>
      <c r="J560" s="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2"/>
      <c r="AJ560" s="2"/>
      <c r="AK560" s="2"/>
      <c r="AL560" s="2"/>
      <c r="AM560" s="2"/>
      <c r="AN560" s="2"/>
      <c r="AO560" s="2"/>
    </row>
    <row r="561" spans="1:41" ht="13.5">
      <c r="A561" s="2"/>
      <c r="B561" s="2"/>
      <c r="C561" s="2"/>
      <c r="D561" s="2"/>
      <c r="E561" s="2"/>
      <c r="F561" s="2"/>
      <c r="G561" s="2"/>
      <c r="H561" s="40"/>
      <c r="I561" s="2"/>
      <c r="J561" s="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2"/>
      <c r="AJ561" s="2"/>
      <c r="AK561" s="2"/>
      <c r="AL561" s="2"/>
      <c r="AM561" s="2"/>
      <c r="AN561" s="2"/>
      <c r="AO561" s="2"/>
    </row>
    <row r="562" spans="1:41" ht="13.5">
      <c r="A562" s="2"/>
      <c r="B562" s="2"/>
      <c r="C562" s="2"/>
      <c r="D562" s="2"/>
      <c r="E562" s="2"/>
      <c r="F562" s="2"/>
      <c r="G562" s="2"/>
      <c r="H562" s="40"/>
      <c r="I562" s="2"/>
      <c r="J562" s="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2"/>
      <c r="AJ562" s="2"/>
      <c r="AK562" s="2"/>
      <c r="AL562" s="2"/>
      <c r="AM562" s="2"/>
      <c r="AN562" s="2"/>
      <c r="AO562" s="2"/>
    </row>
    <row r="563" spans="1:41" ht="13.5">
      <c r="A563" s="2"/>
      <c r="B563" s="2"/>
      <c r="C563" s="2"/>
      <c r="D563" s="2"/>
      <c r="E563" s="2"/>
      <c r="F563" s="2"/>
      <c r="G563" s="2"/>
      <c r="H563" s="40"/>
      <c r="I563" s="2"/>
      <c r="J563" s="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2"/>
      <c r="AJ563" s="2"/>
      <c r="AK563" s="2"/>
      <c r="AL563" s="2"/>
      <c r="AM563" s="2"/>
      <c r="AN563" s="2"/>
      <c r="AO563" s="2"/>
    </row>
    <row r="564" spans="1:41" ht="13.5">
      <c r="A564" s="2"/>
      <c r="B564" s="2"/>
      <c r="C564" s="2"/>
      <c r="D564" s="2"/>
      <c r="E564" s="2"/>
      <c r="F564" s="2"/>
      <c r="G564" s="2"/>
      <c r="H564" s="40"/>
      <c r="I564" s="2"/>
      <c r="J564" s="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2"/>
      <c r="AJ564" s="2"/>
      <c r="AK564" s="2"/>
      <c r="AL564" s="2"/>
      <c r="AM564" s="2"/>
      <c r="AN564" s="2"/>
      <c r="AO564" s="2"/>
    </row>
    <row r="565" spans="1:41" ht="13.5">
      <c r="A565" s="2"/>
      <c r="B565" s="2"/>
      <c r="C565" s="2"/>
      <c r="D565" s="2"/>
      <c r="E565" s="2"/>
      <c r="F565" s="2"/>
      <c r="G565" s="2"/>
      <c r="H565" s="40"/>
      <c r="I565" s="2"/>
      <c r="J565" s="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2"/>
      <c r="AJ565" s="2"/>
      <c r="AK565" s="2"/>
      <c r="AL565" s="2"/>
      <c r="AM565" s="2"/>
      <c r="AN565" s="2"/>
      <c r="AO565" s="2"/>
    </row>
    <row r="566" spans="1:41" ht="13.5">
      <c r="A566" s="2"/>
      <c r="B566" s="2"/>
      <c r="C566" s="2"/>
      <c r="D566" s="2"/>
      <c r="E566" s="2"/>
      <c r="F566" s="2"/>
      <c r="G566" s="2"/>
      <c r="H566" s="40"/>
      <c r="I566" s="2"/>
      <c r="J566" s="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2"/>
      <c r="AJ566" s="2"/>
      <c r="AK566" s="2"/>
      <c r="AL566" s="2"/>
      <c r="AM566" s="2"/>
      <c r="AN566" s="2"/>
      <c r="AO566" s="2"/>
    </row>
    <row r="567" spans="1:41" ht="13.5">
      <c r="A567" s="2"/>
      <c r="B567" s="2"/>
      <c r="C567" s="2"/>
      <c r="D567" s="2"/>
      <c r="E567" s="2"/>
      <c r="F567" s="2"/>
      <c r="G567" s="2"/>
      <c r="H567" s="40"/>
      <c r="I567" s="2"/>
      <c r="J567" s="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2"/>
      <c r="AJ567" s="2"/>
      <c r="AK567" s="2"/>
      <c r="AL567" s="2"/>
      <c r="AM567" s="2"/>
      <c r="AN567" s="2"/>
      <c r="AO567" s="2"/>
    </row>
    <row r="568" spans="1:41" ht="13.5">
      <c r="A568" s="2"/>
      <c r="B568" s="2"/>
      <c r="C568" s="2"/>
      <c r="D568" s="2"/>
      <c r="E568" s="2"/>
      <c r="F568" s="2"/>
      <c r="G568" s="2"/>
      <c r="H568" s="40"/>
      <c r="I568" s="2"/>
      <c r="J568" s="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2"/>
      <c r="AJ568" s="2"/>
      <c r="AK568" s="2"/>
      <c r="AL568" s="2"/>
      <c r="AM568" s="2"/>
      <c r="AN568" s="2"/>
      <c r="AO568" s="2"/>
    </row>
    <row r="569" spans="1:41" ht="13.5">
      <c r="A569" s="2"/>
      <c r="B569" s="2"/>
      <c r="C569" s="2"/>
      <c r="D569" s="2"/>
      <c r="E569" s="2"/>
      <c r="F569" s="2"/>
      <c r="G569" s="2"/>
      <c r="H569" s="40"/>
      <c r="I569" s="2"/>
      <c r="J569" s="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2"/>
      <c r="AJ569" s="2"/>
      <c r="AK569" s="2"/>
      <c r="AL569" s="2"/>
      <c r="AM569" s="2"/>
      <c r="AN569" s="2"/>
      <c r="AO569" s="2"/>
    </row>
    <row r="570" spans="1:41" ht="13.5">
      <c r="A570" s="2"/>
      <c r="B570" s="2"/>
      <c r="C570" s="2"/>
      <c r="D570" s="2"/>
      <c r="E570" s="2"/>
      <c r="F570" s="2"/>
      <c r="G570" s="2"/>
      <c r="H570" s="40"/>
      <c r="I570" s="2"/>
      <c r="J570" s="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2"/>
      <c r="AJ570" s="2"/>
      <c r="AK570" s="2"/>
      <c r="AL570" s="2"/>
      <c r="AM570" s="2"/>
      <c r="AN570" s="2"/>
      <c r="AO570" s="2"/>
    </row>
    <row r="571" spans="1:41" ht="13.5">
      <c r="A571" s="2"/>
      <c r="B571" s="2"/>
      <c r="C571" s="2"/>
      <c r="D571" s="2"/>
      <c r="E571" s="2"/>
      <c r="F571" s="2"/>
      <c r="G571" s="2"/>
      <c r="H571" s="40"/>
      <c r="I571" s="2"/>
      <c r="J571" s="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2"/>
      <c r="AJ571" s="2"/>
      <c r="AK571" s="2"/>
      <c r="AL571" s="2"/>
      <c r="AM571" s="2"/>
      <c r="AN571" s="2"/>
      <c r="AO571" s="2"/>
    </row>
    <row r="572" spans="1:41" ht="13.5">
      <c r="A572" s="2"/>
      <c r="B572" s="2"/>
      <c r="C572" s="2"/>
      <c r="D572" s="2"/>
      <c r="E572" s="2"/>
      <c r="F572" s="2"/>
      <c r="G572" s="2"/>
      <c r="H572" s="40"/>
      <c r="I572" s="2"/>
      <c r="J572" s="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2"/>
      <c r="AJ572" s="2"/>
      <c r="AK572" s="2"/>
      <c r="AL572" s="2"/>
      <c r="AM572" s="2"/>
      <c r="AN572" s="2"/>
      <c r="AO572" s="2"/>
    </row>
    <row r="573" spans="1:41" ht="13.5">
      <c r="A573" s="2"/>
      <c r="B573" s="2"/>
      <c r="C573" s="2"/>
      <c r="D573" s="2"/>
      <c r="E573" s="2"/>
      <c r="F573" s="2"/>
      <c r="G573" s="2"/>
      <c r="H573" s="40"/>
      <c r="I573" s="2"/>
      <c r="J573" s="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2"/>
      <c r="AJ573" s="2"/>
      <c r="AK573" s="2"/>
      <c r="AL573" s="2"/>
      <c r="AM573" s="2"/>
      <c r="AN573" s="2"/>
      <c r="AO573" s="2"/>
    </row>
    <row r="574" spans="1:41" ht="13.5">
      <c r="A574" s="2"/>
      <c r="B574" s="2"/>
      <c r="C574" s="2"/>
      <c r="D574" s="2"/>
      <c r="E574" s="2"/>
      <c r="F574" s="2"/>
      <c r="G574" s="2"/>
      <c r="H574" s="40"/>
      <c r="I574" s="2"/>
      <c r="J574" s="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2"/>
      <c r="AJ574" s="2"/>
      <c r="AK574" s="2"/>
      <c r="AL574" s="2"/>
      <c r="AM574" s="2"/>
      <c r="AN574" s="2"/>
      <c r="AO574" s="2"/>
    </row>
    <row r="575" spans="1:41" ht="13.5">
      <c r="A575" s="2"/>
      <c r="B575" s="2"/>
      <c r="C575" s="2"/>
      <c r="D575" s="2"/>
      <c r="E575" s="2"/>
      <c r="F575" s="2"/>
      <c r="G575" s="2"/>
      <c r="H575" s="40"/>
      <c r="I575" s="2"/>
      <c r="J575" s="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2"/>
      <c r="AJ575" s="2"/>
      <c r="AK575" s="2"/>
      <c r="AL575" s="2"/>
      <c r="AM575" s="2"/>
      <c r="AN575" s="2"/>
      <c r="AO575" s="2"/>
    </row>
    <row r="576" spans="1:41" ht="13.5">
      <c r="A576" s="2"/>
      <c r="B576" s="2"/>
      <c r="C576" s="2"/>
      <c r="D576" s="2"/>
      <c r="E576" s="2"/>
      <c r="F576" s="2"/>
      <c r="G576" s="2"/>
      <c r="H576" s="40"/>
      <c r="I576" s="2"/>
      <c r="J576" s="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2"/>
      <c r="AJ576" s="2"/>
      <c r="AK576" s="2"/>
      <c r="AL576" s="2"/>
      <c r="AM576" s="2"/>
      <c r="AN576" s="2"/>
      <c r="AO576" s="2"/>
    </row>
    <row r="577" spans="1:41" ht="13.5">
      <c r="A577" s="2"/>
      <c r="B577" s="2"/>
      <c r="C577" s="2"/>
      <c r="D577" s="2"/>
      <c r="E577" s="2"/>
      <c r="F577" s="2"/>
      <c r="G577" s="2"/>
      <c r="H577" s="40"/>
      <c r="I577" s="2"/>
      <c r="J577" s="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2"/>
      <c r="AJ577" s="2"/>
      <c r="AK577" s="2"/>
      <c r="AL577" s="2"/>
      <c r="AM577" s="2"/>
      <c r="AN577" s="2"/>
      <c r="AO577" s="2"/>
    </row>
    <row r="578" spans="1:41" ht="13.5">
      <c r="A578" s="2"/>
      <c r="B578" s="2"/>
      <c r="C578" s="2"/>
      <c r="D578" s="2"/>
      <c r="E578" s="2"/>
      <c r="F578" s="2"/>
      <c r="G578" s="2"/>
      <c r="H578" s="40"/>
      <c r="I578" s="2"/>
      <c r="J578" s="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2"/>
      <c r="AJ578" s="2"/>
      <c r="AK578" s="2"/>
      <c r="AL578" s="2"/>
      <c r="AM578" s="2"/>
      <c r="AN578" s="2"/>
      <c r="AO578" s="2"/>
    </row>
    <row r="579" spans="1:41" ht="13.5">
      <c r="A579" s="2"/>
      <c r="B579" s="2"/>
      <c r="C579" s="2"/>
      <c r="D579" s="2"/>
      <c r="E579" s="2"/>
      <c r="F579" s="2"/>
      <c r="G579" s="2"/>
      <c r="H579" s="40"/>
      <c r="I579" s="2"/>
      <c r="J579" s="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2"/>
      <c r="AJ579" s="2"/>
      <c r="AK579" s="2"/>
      <c r="AL579" s="2"/>
      <c r="AM579" s="2"/>
      <c r="AN579" s="2"/>
      <c r="AO579" s="2"/>
    </row>
    <row r="580" spans="1:41" ht="13.5">
      <c r="A580" s="2"/>
      <c r="B580" s="2"/>
      <c r="C580" s="2"/>
      <c r="D580" s="2"/>
      <c r="E580" s="2"/>
      <c r="F580" s="2"/>
      <c r="G580" s="2"/>
      <c r="H580" s="40"/>
      <c r="I580" s="2"/>
      <c r="J580" s="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2"/>
      <c r="AJ580" s="2"/>
      <c r="AK580" s="2"/>
      <c r="AL580" s="2"/>
      <c r="AM580" s="2"/>
      <c r="AN580" s="2"/>
      <c r="AO580" s="2"/>
    </row>
    <row r="581" spans="1:41" ht="13.5">
      <c r="A581" s="2"/>
      <c r="B581" s="2"/>
      <c r="C581" s="2"/>
      <c r="D581" s="2"/>
      <c r="E581" s="2"/>
      <c r="F581" s="2"/>
      <c r="G581" s="2"/>
      <c r="H581" s="40"/>
      <c r="I581" s="2"/>
      <c r="J581" s="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2"/>
      <c r="AJ581" s="2"/>
      <c r="AK581" s="2"/>
      <c r="AL581" s="2"/>
      <c r="AM581" s="2"/>
      <c r="AN581" s="2"/>
      <c r="AO581" s="2"/>
    </row>
    <row r="582" spans="1:41" ht="13.5">
      <c r="A582" s="2"/>
      <c r="B582" s="2"/>
      <c r="C582" s="2"/>
      <c r="D582" s="2"/>
      <c r="E582" s="2"/>
      <c r="F582" s="2"/>
      <c r="G582" s="2"/>
      <c r="H582" s="40"/>
      <c r="I582" s="2"/>
      <c r="J582" s="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2"/>
      <c r="AJ582" s="2"/>
      <c r="AK582" s="2"/>
      <c r="AL582" s="2"/>
      <c r="AM582" s="2"/>
      <c r="AN582" s="2"/>
      <c r="AO582" s="2"/>
    </row>
    <row r="583" spans="1:41" ht="13.5">
      <c r="A583" s="2"/>
      <c r="B583" s="2"/>
      <c r="C583" s="2"/>
      <c r="D583" s="2"/>
      <c r="E583" s="2"/>
      <c r="F583" s="2"/>
      <c r="G583" s="2"/>
      <c r="H583" s="40"/>
      <c r="I583" s="2"/>
      <c r="J583" s="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2"/>
      <c r="AJ583" s="2"/>
      <c r="AK583" s="2"/>
      <c r="AL583" s="2"/>
      <c r="AM583" s="2"/>
      <c r="AN583" s="2"/>
      <c r="AO583" s="2"/>
    </row>
    <row r="584" spans="1:41" ht="13.5">
      <c r="A584" s="2"/>
      <c r="B584" s="2"/>
      <c r="C584" s="2"/>
      <c r="D584" s="2"/>
      <c r="E584" s="2"/>
      <c r="F584" s="2"/>
      <c r="G584" s="2"/>
      <c r="H584" s="40"/>
      <c r="I584" s="2"/>
      <c r="J584" s="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2"/>
      <c r="AJ584" s="2"/>
      <c r="AK584" s="2"/>
      <c r="AL584" s="2"/>
      <c r="AM584" s="2"/>
      <c r="AN584" s="2"/>
      <c r="AO584" s="2"/>
    </row>
    <row r="585" spans="1:41" ht="13.5">
      <c r="A585" s="2"/>
      <c r="B585" s="2"/>
      <c r="C585" s="2"/>
      <c r="D585" s="2"/>
      <c r="E585" s="2"/>
      <c r="F585" s="2"/>
      <c r="G585" s="2"/>
      <c r="H585" s="40"/>
      <c r="I585" s="2"/>
      <c r="J585" s="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2"/>
      <c r="AJ585" s="2"/>
      <c r="AK585" s="2"/>
      <c r="AL585" s="2"/>
      <c r="AM585" s="2"/>
      <c r="AN585" s="2"/>
      <c r="AO585" s="2"/>
    </row>
    <row r="586" spans="1:41" ht="13.5">
      <c r="A586" s="2"/>
      <c r="B586" s="2"/>
      <c r="C586" s="2"/>
      <c r="D586" s="2"/>
      <c r="E586" s="2"/>
      <c r="F586" s="2"/>
      <c r="G586" s="2"/>
      <c r="H586" s="40"/>
      <c r="I586" s="2"/>
      <c r="J586" s="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2"/>
      <c r="AJ586" s="2"/>
      <c r="AK586" s="2"/>
      <c r="AL586" s="2"/>
      <c r="AM586" s="2"/>
      <c r="AN586" s="2"/>
      <c r="AO586" s="2"/>
    </row>
    <row r="587" spans="1:41" ht="13.5">
      <c r="A587" s="2"/>
      <c r="B587" s="2"/>
      <c r="C587" s="2"/>
      <c r="D587" s="2"/>
      <c r="E587" s="2"/>
      <c r="F587" s="2"/>
      <c r="G587" s="2"/>
      <c r="H587" s="40"/>
      <c r="I587" s="2"/>
      <c r="J587" s="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2"/>
      <c r="AJ587" s="2"/>
      <c r="AK587" s="2"/>
      <c r="AL587" s="2"/>
      <c r="AM587" s="2"/>
      <c r="AN587" s="2"/>
      <c r="AO587" s="2"/>
    </row>
    <row r="588" spans="1:41" ht="13.5">
      <c r="A588" s="2"/>
      <c r="B588" s="2"/>
      <c r="C588" s="2"/>
      <c r="D588" s="2"/>
      <c r="E588" s="2"/>
      <c r="F588" s="2"/>
      <c r="G588" s="2"/>
      <c r="H588" s="40"/>
      <c r="I588" s="2"/>
      <c r="J588" s="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2"/>
      <c r="AJ588" s="2"/>
      <c r="AK588" s="2"/>
      <c r="AL588" s="2"/>
      <c r="AM588" s="2"/>
      <c r="AN588" s="2"/>
      <c r="AO588" s="2"/>
    </row>
    <row r="589" spans="1:41" ht="13.5">
      <c r="A589" s="2"/>
      <c r="B589" s="2"/>
      <c r="C589" s="2"/>
      <c r="D589" s="2"/>
      <c r="E589" s="2"/>
      <c r="F589" s="2"/>
      <c r="G589" s="2"/>
      <c r="H589" s="40"/>
      <c r="I589" s="2"/>
      <c r="J589" s="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2"/>
      <c r="AJ589" s="2"/>
      <c r="AK589" s="2"/>
      <c r="AL589" s="2"/>
      <c r="AM589" s="2"/>
      <c r="AN589" s="2"/>
      <c r="AO589" s="2"/>
    </row>
    <row r="590" spans="1:41" ht="13.5">
      <c r="A590" s="2"/>
      <c r="B590" s="2"/>
      <c r="C590" s="2"/>
      <c r="D590" s="2"/>
      <c r="E590" s="2"/>
      <c r="F590" s="2"/>
      <c r="G590" s="2"/>
      <c r="H590" s="40"/>
      <c r="I590" s="2"/>
      <c r="J590" s="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2"/>
      <c r="AJ590" s="2"/>
      <c r="AK590" s="2"/>
      <c r="AL590" s="2"/>
      <c r="AM590" s="2"/>
      <c r="AN590" s="2"/>
      <c r="AO590" s="2"/>
    </row>
    <row r="591" spans="1:41" ht="13.5">
      <c r="A591" s="2"/>
      <c r="B591" s="2"/>
      <c r="C591" s="2"/>
      <c r="D591" s="2"/>
      <c r="E591" s="2"/>
      <c r="F591" s="2"/>
      <c r="G591" s="2"/>
      <c r="H591" s="40"/>
      <c r="I591" s="2"/>
      <c r="J591" s="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2"/>
      <c r="AJ591" s="2"/>
      <c r="AK591" s="2"/>
      <c r="AL591" s="2"/>
      <c r="AM591" s="2"/>
      <c r="AN591" s="2"/>
      <c r="AO591" s="2"/>
    </row>
    <row r="592" spans="1:41" ht="13.5">
      <c r="A592" s="2"/>
      <c r="B592" s="2"/>
      <c r="C592" s="2"/>
      <c r="D592" s="2"/>
      <c r="E592" s="2"/>
      <c r="F592" s="2"/>
      <c r="G592" s="2"/>
      <c r="H592" s="40"/>
      <c r="I592" s="2"/>
      <c r="J592" s="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2"/>
      <c r="AJ592" s="2"/>
      <c r="AK592" s="2"/>
      <c r="AL592" s="2"/>
      <c r="AM592" s="2"/>
      <c r="AN592" s="2"/>
      <c r="AO592" s="2"/>
    </row>
    <row r="593" spans="1:41" ht="13.5">
      <c r="A593" s="2"/>
      <c r="B593" s="2"/>
      <c r="C593" s="2"/>
      <c r="D593" s="2"/>
      <c r="E593" s="2"/>
      <c r="F593" s="2"/>
      <c r="G593" s="2"/>
      <c r="H593" s="40"/>
      <c r="I593" s="2"/>
      <c r="J593" s="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2"/>
      <c r="AJ593" s="2"/>
      <c r="AK593" s="2"/>
      <c r="AL593" s="2"/>
      <c r="AM593" s="2"/>
      <c r="AN593" s="2"/>
      <c r="AO593" s="2"/>
    </row>
    <row r="594" spans="1:41" ht="13.5">
      <c r="A594" s="2"/>
      <c r="B594" s="2"/>
      <c r="C594" s="2"/>
      <c r="D594" s="2"/>
      <c r="E594" s="2"/>
      <c r="F594" s="2"/>
      <c r="G594" s="2"/>
      <c r="H594" s="40"/>
      <c r="I594" s="2"/>
      <c r="J594" s="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2"/>
      <c r="AJ594" s="2"/>
      <c r="AK594" s="2"/>
      <c r="AL594" s="2"/>
      <c r="AM594" s="2"/>
      <c r="AN594" s="2"/>
      <c r="AO594" s="2"/>
    </row>
    <row r="595" spans="1:41" ht="13.5">
      <c r="A595" s="2"/>
      <c r="B595" s="2"/>
      <c r="C595" s="2"/>
      <c r="D595" s="2"/>
      <c r="E595" s="2"/>
      <c r="F595" s="2"/>
      <c r="G595" s="2"/>
      <c r="H595" s="40"/>
      <c r="I595" s="2"/>
      <c r="J595" s="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2"/>
      <c r="AJ595" s="2"/>
      <c r="AK595" s="2"/>
      <c r="AL595" s="2"/>
      <c r="AM595" s="2"/>
      <c r="AN595" s="2"/>
      <c r="AO595" s="2"/>
    </row>
    <row r="596" spans="1:41" ht="13.5">
      <c r="A596" s="2"/>
      <c r="B596" s="2"/>
      <c r="C596" s="2"/>
      <c r="D596" s="2"/>
      <c r="E596" s="2"/>
      <c r="F596" s="2"/>
      <c r="G596" s="2"/>
      <c r="H596" s="40"/>
      <c r="I596" s="2"/>
      <c r="J596" s="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2"/>
      <c r="AJ596" s="2"/>
      <c r="AK596" s="2"/>
      <c r="AL596" s="2"/>
      <c r="AM596" s="2"/>
      <c r="AN596" s="2"/>
      <c r="AO596" s="2"/>
    </row>
    <row r="597" spans="1:41" ht="13.5">
      <c r="A597" s="2"/>
      <c r="B597" s="2"/>
      <c r="C597" s="2"/>
      <c r="D597" s="2"/>
      <c r="E597" s="2"/>
      <c r="F597" s="2"/>
      <c r="G597" s="2"/>
      <c r="H597" s="40"/>
      <c r="I597" s="2"/>
      <c r="J597" s="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2"/>
      <c r="AJ597" s="2"/>
      <c r="AK597" s="2"/>
      <c r="AL597" s="2"/>
      <c r="AM597" s="2"/>
      <c r="AN597" s="2"/>
      <c r="AO597" s="2"/>
    </row>
    <row r="598" spans="1:41" ht="13.5">
      <c r="A598" s="2"/>
      <c r="B598" s="2"/>
      <c r="C598" s="2"/>
      <c r="D598" s="2"/>
      <c r="E598" s="2"/>
      <c r="F598" s="2"/>
      <c r="G598" s="2"/>
      <c r="H598" s="40"/>
      <c r="I598" s="2"/>
      <c r="J598" s="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2"/>
      <c r="AJ598" s="2"/>
      <c r="AK598" s="2"/>
      <c r="AL598" s="2"/>
      <c r="AM598" s="2"/>
      <c r="AN598" s="2"/>
      <c r="AO598" s="2"/>
    </row>
    <row r="599" spans="1:41" ht="13.5">
      <c r="A599" s="2"/>
      <c r="B599" s="2"/>
      <c r="C599" s="2"/>
      <c r="D599" s="2"/>
      <c r="E599" s="2"/>
      <c r="F599" s="2"/>
      <c r="G599" s="2"/>
      <c r="H599" s="40"/>
      <c r="I599" s="2"/>
      <c r="J599" s="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2"/>
      <c r="AJ599" s="2"/>
      <c r="AK599" s="2"/>
      <c r="AL599" s="2"/>
      <c r="AM599" s="2"/>
      <c r="AN599" s="2"/>
      <c r="AO599" s="2"/>
    </row>
    <row r="600" spans="1:41" ht="13.5">
      <c r="A600" s="2"/>
      <c r="B600" s="2"/>
      <c r="C600" s="2"/>
      <c r="D600" s="2"/>
      <c r="E600" s="2"/>
      <c r="F600" s="2"/>
      <c r="G600" s="2"/>
      <c r="H600" s="40"/>
      <c r="I600" s="2"/>
      <c r="J600" s="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2"/>
      <c r="AJ600" s="2"/>
      <c r="AK600" s="2"/>
      <c r="AL600" s="2"/>
      <c r="AM600" s="2"/>
      <c r="AN600" s="2"/>
      <c r="AO600" s="2"/>
    </row>
    <row r="601" spans="1:41" ht="13.5">
      <c r="A601" s="2"/>
      <c r="B601" s="2"/>
      <c r="C601" s="2"/>
      <c r="D601" s="2"/>
      <c r="E601" s="2"/>
      <c r="F601" s="2"/>
      <c r="G601" s="2"/>
      <c r="H601" s="40"/>
      <c r="I601" s="2"/>
      <c r="J601" s="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2"/>
      <c r="AJ601" s="2"/>
      <c r="AK601" s="2"/>
      <c r="AL601" s="2"/>
      <c r="AM601" s="2"/>
      <c r="AN601" s="2"/>
      <c r="AO601" s="2"/>
    </row>
    <row r="602" spans="1:41" ht="13.5">
      <c r="A602" s="2"/>
      <c r="B602" s="2"/>
      <c r="C602" s="2"/>
      <c r="D602" s="2"/>
      <c r="E602" s="2"/>
      <c r="F602" s="2"/>
      <c r="G602" s="2"/>
      <c r="H602" s="40"/>
      <c r="I602" s="2"/>
      <c r="J602" s="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2"/>
      <c r="AJ602" s="2"/>
      <c r="AK602" s="2"/>
      <c r="AL602" s="2"/>
      <c r="AM602" s="2"/>
      <c r="AN602" s="2"/>
      <c r="AO602" s="2"/>
    </row>
    <row r="603" spans="1:41" ht="13.5">
      <c r="A603" s="2"/>
      <c r="B603" s="2"/>
      <c r="C603" s="2"/>
      <c r="D603" s="2"/>
      <c r="E603" s="2"/>
      <c r="F603" s="2"/>
      <c r="G603" s="2"/>
      <c r="H603" s="40"/>
      <c r="I603" s="2"/>
      <c r="J603" s="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2"/>
      <c r="AJ603" s="2"/>
      <c r="AK603" s="2"/>
      <c r="AL603" s="2"/>
      <c r="AM603" s="2"/>
      <c r="AN603" s="2"/>
      <c r="AO603" s="2"/>
    </row>
    <row r="604" spans="1:41" ht="13.5">
      <c r="A604" s="2"/>
      <c r="B604" s="2"/>
      <c r="C604" s="2"/>
      <c r="D604" s="2"/>
      <c r="E604" s="2"/>
      <c r="F604" s="2"/>
      <c r="G604" s="2"/>
      <c r="H604" s="40"/>
      <c r="I604" s="2"/>
      <c r="J604" s="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2"/>
      <c r="AJ604" s="2"/>
      <c r="AK604" s="2"/>
      <c r="AL604" s="2"/>
      <c r="AM604" s="2"/>
      <c r="AN604" s="2"/>
      <c r="AO604" s="2"/>
    </row>
    <row r="605" spans="1:41" ht="13.5">
      <c r="A605" s="2"/>
      <c r="B605" s="2"/>
      <c r="C605" s="2"/>
      <c r="D605" s="2"/>
      <c r="E605" s="2"/>
      <c r="F605" s="2"/>
      <c r="G605" s="2"/>
      <c r="H605" s="40"/>
      <c r="I605" s="2"/>
      <c r="J605" s="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2"/>
      <c r="AJ605" s="2"/>
      <c r="AK605" s="2"/>
      <c r="AL605" s="2"/>
      <c r="AM605" s="2"/>
      <c r="AN605" s="2"/>
      <c r="AO605" s="2"/>
    </row>
    <row r="606" spans="1:41" ht="13.5">
      <c r="A606" s="2"/>
      <c r="B606" s="2"/>
      <c r="C606" s="2"/>
      <c r="D606" s="2"/>
      <c r="E606" s="2"/>
      <c r="F606" s="2"/>
      <c r="G606" s="2"/>
      <c r="H606" s="40"/>
      <c r="I606" s="2"/>
      <c r="J606" s="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2"/>
      <c r="AJ606" s="2"/>
      <c r="AK606" s="2"/>
      <c r="AL606" s="2"/>
      <c r="AM606" s="2"/>
      <c r="AN606" s="2"/>
      <c r="AO606" s="2"/>
    </row>
    <row r="607" spans="1:41" ht="13.5">
      <c r="A607" s="2"/>
      <c r="B607" s="2"/>
      <c r="C607" s="2"/>
      <c r="D607" s="2"/>
      <c r="E607" s="2"/>
      <c r="F607" s="2"/>
      <c r="G607" s="2"/>
      <c r="H607" s="40"/>
      <c r="I607" s="2"/>
      <c r="J607" s="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2"/>
      <c r="AJ607" s="2"/>
      <c r="AK607" s="2"/>
      <c r="AL607" s="2"/>
      <c r="AM607" s="2"/>
      <c r="AN607" s="2"/>
      <c r="AO607" s="2"/>
    </row>
    <row r="608" spans="1:41" ht="13.5">
      <c r="A608" s="2"/>
      <c r="B608" s="2"/>
      <c r="C608" s="2"/>
      <c r="D608" s="2"/>
      <c r="E608" s="2"/>
      <c r="F608" s="2"/>
      <c r="G608" s="2"/>
      <c r="H608" s="40"/>
      <c r="I608" s="2"/>
      <c r="J608" s="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2"/>
      <c r="AJ608" s="2"/>
      <c r="AK608" s="2"/>
      <c r="AL608" s="2"/>
      <c r="AM608" s="2"/>
      <c r="AN608" s="2"/>
      <c r="AO608" s="2"/>
    </row>
    <row r="609" spans="1:41" ht="13.5">
      <c r="A609" s="2"/>
      <c r="B609" s="2"/>
      <c r="C609" s="2"/>
      <c r="D609" s="2"/>
      <c r="E609" s="2"/>
      <c r="F609" s="2"/>
      <c r="G609" s="2"/>
      <c r="H609" s="40"/>
      <c r="I609" s="2"/>
      <c r="J609" s="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2"/>
      <c r="AJ609" s="2"/>
      <c r="AK609" s="2"/>
      <c r="AL609" s="2"/>
      <c r="AM609" s="2"/>
      <c r="AN609" s="2"/>
      <c r="AO609" s="2"/>
    </row>
    <row r="610" spans="1:41" ht="13.5">
      <c r="A610" s="2"/>
      <c r="B610" s="2"/>
      <c r="C610" s="2"/>
      <c r="D610" s="2"/>
      <c r="E610" s="2"/>
      <c r="F610" s="2"/>
      <c r="G610" s="2"/>
      <c r="H610" s="40"/>
      <c r="I610" s="2"/>
      <c r="J610" s="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2"/>
      <c r="AJ610" s="2"/>
      <c r="AK610" s="2"/>
      <c r="AL610" s="2"/>
      <c r="AM610" s="2"/>
      <c r="AN610" s="2"/>
      <c r="AO610" s="2"/>
    </row>
    <row r="611" spans="1:41" ht="13.5">
      <c r="A611" s="2"/>
      <c r="B611" s="2"/>
      <c r="C611" s="2"/>
      <c r="D611" s="2"/>
      <c r="E611" s="2"/>
      <c r="F611" s="2"/>
      <c r="G611" s="2"/>
      <c r="H611" s="40"/>
      <c r="I611" s="2"/>
      <c r="J611" s="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2"/>
      <c r="AJ611" s="2"/>
      <c r="AK611" s="2"/>
      <c r="AL611" s="2"/>
      <c r="AM611" s="2"/>
      <c r="AN611" s="2"/>
      <c r="AO611" s="2"/>
    </row>
    <row r="612" spans="1:41" ht="13.5">
      <c r="A612" s="2"/>
      <c r="B612" s="2"/>
      <c r="C612" s="2"/>
      <c r="D612" s="2"/>
      <c r="E612" s="2"/>
      <c r="F612" s="2"/>
      <c r="G612" s="2"/>
      <c r="H612" s="40"/>
      <c r="I612" s="2"/>
      <c r="J612" s="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2"/>
      <c r="AJ612" s="2"/>
      <c r="AK612" s="2"/>
      <c r="AL612" s="2"/>
      <c r="AM612" s="2"/>
      <c r="AN612" s="2"/>
      <c r="AO612" s="2"/>
    </row>
    <row r="613" spans="1:41" ht="13.5">
      <c r="A613" s="2"/>
      <c r="B613" s="2"/>
      <c r="C613" s="2"/>
      <c r="D613" s="2"/>
      <c r="E613" s="2"/>
      <c r="F613" s="2"/>
      <c r="G613" s="2"/>
      <c r="H613" s="40"/>
      <c r="I613" s="2"/>
      <c r="J613" s="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2"/>
      <c r="AJ613" s="2"/>
      <c r="AK613" s="2"/>
      <c r="AL613" s="2"/>
      <c r="AM613" s="2"/>
      <c r="AN613" s="2"/>
      <c r="AO613" s="2"/>
    </row>
    <row r="614" spans="1:41" ht="13.5">
      <c r="A614" s="2"/>
      <c r="B614" s="2"/>
      <c r="C614" s="2"/>
      <c r="D614" s="2"/>
      <c r="E614" s="2"/>
      <c r="F614" s="2"/>
      <c r="G614" s="2"/>
      <c r="H614" s="40"/>
      <c r="I614" s="2"/>
      <c r="J614" s="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2"/>
      <c r="AJ614" s="2"/>
      <c r="AK614" s="2"/>
      <c r="AL614" s="2"/>
      <c r="AM614" s="2"/>
      <c r="AN614" s="2"/>
      <c r="AO614" s="2"/>
    </row>
    <row r="615" spans="1:41" ht="13.5">
      <c r="A615" s="2"/>
      <c r="B615" s="2"/>
      <c r="C615" s="2"/>
      <c r="D615" s="2"/>
      <c r="E615" s="2"/>
      <c r="F615" s="2"/>
      <c r="G615" s="2"/>
      <c r="H615" s="40"/>
      <c r="I615" s="2"/>
      <c r="J615" s="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2"/>
      <c r="AJ615" s="2"/>
      <c r="AK615" s="2"/>
      <c r="AL615" s="2"/>
      <c r="AM615" s="2"/>
      <c r="AN615" s="2"/>
      <c r="AO615" s="2"/>
    </row>
    <row r="616" spans="1:41" ht="13.5">
      <c r="A616" s="2"/>
      <c r="B616" s="2"/>
      <c r="C616" s="2"/>
      <c r="D616" s="2"/>
      <c r="E616" s="2"/>
      <c r="F616" s="2"/>
      <c r="G616" s="2"/>
      <c r="H616" s="40"/>
      <c r="I616" s="2"/>
      <c r="J616" s="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2"/>
      <c r="AJ616" s="2"/>
      <c r="AK616" s="2"/>
      <c r="AL616" s="2"/>
      <c r="AM616" s="2"/>
      <c r="AN616" s="2"/>
      <c r="AO616" s="2"/>
    </row>
    <row r="617" spans="1:41" ht="13.5">
      <c r="A617" s="2"/>
      <c r="B617" s="2"/>
      <c r="C617" s="2"/>
      <c r="D617" s="2"/>
      <c r="E617" s="2"/>
      <c r="F617" s="2"/>
      <c r="G617" s="2"/>
      <c r="H617" s="40"/>
      <c r="I617" s="2"/>
      <c r="J617" s="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2"/>
      <c r="AJ617" s="2"/>
      <c r="AK617" s="2"/>
      <c r="AL617" s="2"/>
      <c r="AM617" s="2"/>
      <c r="AN617" s="2"/>
      <c r="AO617" s="2"/>
    </row>
    <row r="618" spans="1:41" ht="13.5">
      <c r="A618" s="2"/>
      <c r="B618" s="2"/>
      <c r="C618" s="2"/>
      <c r="D618" s="2"/>
      <c r="E618" s="2"/>
      <c r="F618" s="2"/>
      <c r="G618" s="2"/>
      <c r="H618" s="40"/>
      <c r="I618" s="2"/>
      <c r="J618" s="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2"/>
      <c r="AJ618" s="2"/>
      <c r="AK618" s="2"/>
      <c r="AL618" s="2"/>
      <c r="AM618" s="2"/>
      <c r="AN618" s="2"/>
      <c r="AO618" s="2"/>
    </row>
    <row r="619" spans="1:41" ht="13.5">
      <c r="A619" s="2"/>
      <c r="B619" s="2"/>
      <c r="C619" s="2"/>
      <c r="D619" s="2"/>
      <c r="E619" s="2"/>
      <c r="F619" s="2"/>
      <c r="G619" s="2"/>
      <c r="H619" s="40"/>
      <c r="I619" s="2"/>
      <c r="J619" s="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2"/>
      <c r="AJ619" s="2"/>
      <c r="AK619" s="2"/>
      <c r="AL619" s="2"/>
      <c r="AM619" s="2"/>
      <c r="AN619" s="2"/>
      <c r="AO619" s="2"/>
    </row>
    <row r="620" spans="1:41" ht="13.5">
      <c r="A620" s="2"/>
      <c r="B620" s="2"/>
      <c r="C620" s="2"/>
      <c r="D620" s="2"/>
      <c r="E620" s="2"/>
      <c r="F620" s="2"/>
      <c r="G620" s="2"/>
      <c r="H620" s="40"/>
      <c r="I620" s="2"/>
      <c r="J620" s="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2"/>
      <c r="AJ620" s="2"/>
      <c r="AK620" s="2"/>
      <c r="AL620" s="2"/>
      <c r="AM620" s="2"/>
      <c r="AN620" s="2"/>
      <c r="AO620" s="2"/>
    </row>
    <row r="621" spans="1:41" ht="13.5">
      <c r="A621" s="2"/>
      <c r="B621" s="2"/>
      <c r="C621" s="2"/>
      <c r="D621" s="2"/>
      <c r="E621" s="2"/>
      <c r="F621" s="2"/>
      <c r="G621" s="2"/>
      <c r="H621" s="40"/>
      <c r="I621" s="2"/>
      <c r="J621" s="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2"/>
      <c r="AJ621" s="2"/>
      <c r="AK621" s="2"/>
      <c r="AL621" s="2"/>
      <c r="AM621" s="2"/>
      <c r="AN621" s="2"/>
      <c r="AO621" s="2"/>
    </row>
    <row r="622" spans="1:41" ht="13.5">
      <c r="A622" s="2"/>
      <c r="B622" s="2"/>
      <c r="C622" s="2"/>
      <c r="D622" s="2"/>
      <c r="E622" s="2"/>
      <c r="F622" s="2"/>
      <c r="G622" s="2"/>
      <c r="H622" s="40"/>
      <c r="I622" s="2"/>
      <c r="J622" s="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2"/>
      <c r="AJ622" s="2"/>
      <c r="AK622" s="2"/>
      <c r="AL622" s="2"/>
      <c r="AM622" s="2"/>
      <c r="AN622" s="2"/>
      <c r="AO622" s="2"/>
    </row>
    <row r="623" spans="1:41" ht="13.5">
      <c r="A623" s="2"/>
      <c r="B623" s="2"/>
      <c r="C623" s="2"/>
      <c r="D623" s="2"/>
      <c r="E623" s="2"/>
      <c r="F623" s="2"/>
      <c r="G623" s="2"/>
      <c r="H623" s="40"/>
      <c r="I623" s="2"/>
      <c r="J623" s="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2"/>
      <c r="AJ623" s="2"/>
      <c r="AK623" s="2"/>
      <c r="AL623" s="2"/>
      <c r="AM623" s="2"/>
      <c r="AN623" s="2"/>
      <c r="AO623" s="2"/>
    </row>
    <row r="624" spans="1:41" ht="13.5">
      <c r="A624" s="2"/>
      <c r="B624" s="2"/>
      <c r="C624" s="2"/>
      <c r="D624" s="2"/>
      <c r="E624" s="2"/>
      <c r="F624" s="2"/>
      <c r="G624" s="2"/>
      <c r="H624" s="40"/>
      <c r="I624" s="2"/>
      <c r="J624" s="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2"/>
      <c r="AJ624" s="2"/>
      <c r="AK624" s="2"/>
      <c r="AL624" s="2"/>
      <c r="AM624" s="2"/>
      <c r="AN624" s="2"/>
      <c r="AO624" s="2"/>
    </row>
    <row r="625" spans="1:41" ht="13.5">
      <c r="A625" s="2"/>
      <c r="B625" s="2"/>
      <c r="C625" s="2"/>
      <c r="D625" s="2"/>
      <c r="E625" s="2"/>
      <c r="F625" s="2"/>
      <c r="G625" s="2"/>
      <c r="H625" s="40"/>
      <c r="I625" s="2"/>
      <c r="J625" s="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2"/>
      <c r="AJ625" s="2"/>
      <c r="AK625" s="2"/>
      <c r="AL625" s="2"/>
      <c r="AM625" s="2"/>
      <c r="AN625" s="2"/>
      <c r="AO625" s="2"/>
    </row>
    <row r="626" spans="1:41" ht="13.5">
      <c r="A626" s="2"/>
      <c r="B626" s="2"/>
      <c r="C626" s="2"/>
      <c r="D626" s="2"/>
      <c r="E626" s="2"/>
      <c r="F626" s="2"/>
      <c r="G626" s="2"/>
      <c r="H626" s="40"/>
      <c r="I626" s="2"/>
      <c r="J626" s="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2"/>
      <c r="AJ626" s="2"/>
      <c r="AK626" s="2"/>
      <c r="AL626" s="2"/>
      <c r="AM626" s="2"/>
      <c r="AN626" s="2"/>
      <c r="AO626" s="2"/>
    </row>
    <row r="627" spans="1:41" ht="13.5">
      <c r="A627" s="2"/>
      <c r="B627" s="2"/>
      <c r="C627" s="2"/>
      <c r="D627" s="2"/>
      <c r="E627" s="2"/>
      <c r="F627" s="2"/>
      <c r="G627" s="2"/>
      <c r="H627" s="40"/>
      <c r="I627" s="2"/>
      <c r="J627" s="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2"/>
      <c r="AJ627" s="2"/>
      <c r="AK627" s="2"/>
      <c r="AL627" s="2"/>
      <c r="AM627" s="2"/>
      <c r="AN627" s="2"/>
      <c r="AO627" s="2"/>
    </row>
    <row r="628" spans="1:41" ht="13.5">
      <c r="A628" s="2"/>
      <c r="B628" s="2"/>
      <c r="C628" s="2"/>
      <c r="D628" s="2"/>
      <c r="E628" s="2"/>
      <c r="F628" s="2"/>
      <c r="G628" s="2"/>
      <c r="H628" s="40"/>
      <c r="I628" s="2"/>
      <c r="J628" s="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2"/>
      <c r="AJ628" s="2"/>
      <c r="AK628" s="2"/>
      <c r="AL628" s="2"/>
      <c r="AM628" s="2"/>
      <c r="AN628" s="2"/>
      <c r="AO628" s="2"/>
    </row>
    <row r="629" spans="1:41" ht="13.5">
      <c r="A629" s="2"/>
      <c r="B629" s="2"/>
      <c r="C629" s="2"/>
      <c r="D629" s="2"/>
      <c r="E629" s="2"/>
      <c r="F629" s="2"/>
      <c r="G629" s="2"/>
      <c r="H629" s="40"/>
      <c r="I629" s="2"/>
      <c r="J629" s="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2"/>
      <c r="AJ629" s="2"/>
      <c r="AK629" s="2"/>
      <c r="AL629" s="2"/>
      <c r="AM629" s="2"/>
      <c r="AN629" s="2"/>
      <c r="AO629" s="2"/>
    </row>
    <row r="630" spans="1:41" ht="13.5">
      <c r="A630" s="2"/>
      <c r="B630" s="2"/>
      <c r="C630" s="2"/>
      <c r="D630" s="2"/>
      <c r="E630" s="2"/>
      <c r="F630" s="2"/>
      <c r="G630" s="2"/>
      <c r="H630" s="40"/>
      <c r="I630" s="2"/>
      <c r="J630" s="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2"/>
      <c r="AJ630" s="2"/>
      <c r="AK630" s="2"/>
      <c r="AL630" s="2"/>
      <c r="AM630" s="2"/>
      <c r="AN630" s="2"/>
      <c r="AO630" s="2"/>
    </row>
    <row r="631" spans="1:41" ht="13.5">
      <c r="A631" s="2"/>
      <c r="B631" s="2"/>
      <c r="C631" s="2"/>
      <c r="D631" s="2"/>
      <c r="E631" s="2"/>
      <c r="F631" s="2"/>
      <c r="G631" s="2"/>
      <c r="H631" s="40"/>
      <c r="I631" s="2"/>
      <c r="J631" s="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2"/>
      <c r="AJ631" s="2"/>
      <c r="AK631" s="2"/>
      <c r="AL631" s="2"/>
      <c r="AM631" s="2"/>
      <c r="AN631" s="2"/>
      <c r="AO631" s="2"/>
    </row>
    <row r="632" spans="1:41" ht="13.5">
      <c r="A632" s="2"/>
      <c r="B632" s="2"/>
      <c r="C632" s="2"/>
      <c r="D632" s="2"/>
      <c r="E632" s="2"/>
      <c r="F632" s="2"/>
      <c r="G632" s="2"/>
      <c r="H632" s="40"/>
      <c r="I632" s="2"/>
      <c r="J632" s="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2"/>
      <c r="AJ632" s="2"/>
      <c r="AK632" s="2"/>
      <c r="AL632" s="2"/>
      <c r="AM632" s="2"/>
      <c r="AN632" s="2"/>
      <c r="AO632" s="2"/>
    </row>
    <row r="633" spans="1:41" ht="13.5">
      <c r="A633" s="2"/>
      <c r="B633" s="2"/>
      <c r="C633" s="2"/>
      <c r="D633" s="2"/>
      <c r="E633" s="2"/>
      <c r="F633" s="2"/>
      <c r="G633" s="2"/>
      <c r="H633" s="40"/>
      <c r="I633" s="2"/>
      <c r="J633" s="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2"/>
      <c r="AJ633" s="2"/>
      <c r="AK633" s="2"/>
      <c r="AL633" s="2"/>
      <c r="AM633" s="2"/>
      <c r="AN633" s="2"/>
      <c r="AO633" s="2"/>
    </row>
    <row r="634" spans="1:41" ht="13.5">
      <c r="A634" s="2"/>
      <c r="B634" s="2"/>
      <c r="C634" s="2"/>
      <c r="D634" s="2"/>
      <c r="E634" s="2"/>
      <c r="F634" s="2"/>
      <c r="G634" s="2"/>
      <c r="H634" s="40"/>
      <c r="I634" s="2"/>
      <c r="J634" s="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2"/>
      <c r="AJ634" s="2"/>
      <c r="AK634" s="2"/>
      <c r="AL634" s="2"/>
      <c r="AM634" s="2"/>
      <c r="AN634" s="2"/>
      <c r="AO634" s="2"/>
    </row>
    <row r="635" spans="1:41" ht="13.5">
      <c r="A635" s="2"/>
      <c r="B635" s="2"/>
      <c r="C635" s="2"/>
      <c r="D635" s="2"/>
      <c r="E635" s="2"/>
      <c r="F635" s="2"/>
      <c r="G635" s="2"/>
      <c r="H635" s="40"/>
      <c r="I635" s="2"/>
      <c r="J635" s="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2"/>
      <c r="AJ635" s="2"/>
      <c r="AK635" s="2"/>
      <c r="AL635" s="2"/>
      <c r="AM635" s="2"/>
      <c r="AN635" s="2"/>
      <c r="AO635" s="2"/>
    </row>
    <row r="636" spans="1:41" ht="13.5">
      <c r="A636" s="2"/>
      <c r="B636" s="2"/>
      <c r="C636" s="2"/>
      <c r="D636" s="2"/>
      <c r="E636" s="2"/>
      <c r="F636" s="2"/>
      <c r="G636" s="2"/>
      <c r="H636" s="40"/>
      <c r="I636" s="2"/>
      <c r="J636" s="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2"/>
      <c r="AJ636" s="2"/>
      <c r="AK636" s="2"/>
      <c r="AL636" s="2"/>
      <c r="AM636" s="2"/>
      <c r="AN636" s="2"/>
      <c r="AO636" s="2"/>
    </row>
    <row r="637" spans="1:41" ht="13.5">
      <c r="A637" s="2"/>
      <c r="B637" s="2"/>
      <c r="C637" s="2"/>
      <c r="D637" s="2"/>
      <c r="E637" s="2"/>
      <c r="F637" s="2"/>
      <c r="G637" s="2"/>
      <c r="H637" s="40"/>
      <c r="I637" s="2"/>
      <c r="J637" s="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2"/>
      <c r="AJ637" s="2"/>
      <c r="AK637" s="2"/>
      <c r="AL637" s="2"/>
      <c r="AM637" s="2"/>
      <c r="AN637" s="2"/>
      <c r="AO637" s="2"/>
    </row>
    <row r="638" spans="1:41" ht="13.5">
      <c r="A638" s="2"/>
      <c r="B638" s="2"/>
      <c r="C638" s="2"/>
      <c r="D638" s="2"/>
      <c r="E638" s="2"/>
      <c r="F638" s="2"/>
      <c r="G638" s="2"/>
      <c r="H638" s="40"/>
      <c r="I638" s="2"/>
      <c r="J638" s="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2"/>
      <c r="AJ638" s="2"/>
      <c r="AK638" s="2"/>
      <c r="AL638" s="2"/>
      <c r="AM638" s="2"/>
      <c r="AN638" s="2"/>
      <c r="AO638" s="2"/>
    </row>
    <row r="639" spans="1:41" ht="13.5">
      <c r="A639" s="2"/>
      <c r="B639" s="2"/>
      <c r="C639" s="2"/>
      <c r="D639" s="2"/>
      <c r="E639" s="2"/>
      <c r="F639" s="2"/>
      <c r="G639" s="2"/>
      <c r="H639" s="40"/>
      <c r="I639" s="2"/>
      <c r="J639" s="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2"/>
      <c r="AJ639" s="2"/>
      <c r="AK639" s="2"/>
      <c r="AL639" s="2"/>
      <c r="AM639" s="2"/>
      <c r="AN639" s="2"/>
      <c r="AO639" s="2"/>
    </row>
    <row r="640" spans="1:41" ht="13.5">
      <c r="A640" s="2"/>
      <c r="B640" s="2"/>
      <c r="C640" s="2"/>
      <c r="D640" s="2"/>
      <c r="E640" s="2"/>
      <c r="F640" s="2"/>
      <c r="G640" s="2"/>
      <c r="H640" s="40"/>
      <c r="I640" s="2"/>
      <c r="J640" s="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2"/>
      <c r="AJ640" s="2"/>
      <c r="AK640" s="2"/>
      <c r="AL640" s="2"/>
      <c r="AM640" s="2"/>
      <c r="AN640" s="2"/>
      <c r="AO640" s="2"/>
    </row>
    <row r="641" spans="1:41" ht="13.5">
      <c r="A641" s="2"/>
      <c r="B641" s="2"/>
      <c r="C641" s="2"/>
      <c r="D641" s="2"/>
      <c r="E641" s="2"/>
      <c r="F641" s="2"/>
      <c r="G641" s="2"/>
      <c r="H641" s="40"/>
      <c r="I641" s="2"/>
      <c r="J641" s="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2"/>
      <c r="AJ641" s="2"/>
      <c r="AK641" s="2"/>
      <c r="AL641" s="2"/>
      <c r="AM641" s="2"/>
      <c r="AN641" s="2"/>
      <c r="AO641" s="2"/>
    </row>
    <row r="642" spans="1:41" ht="13.5">
      <c r="A642" s="2"/>
      <c r="B642" s="2"/>
      <c r="C642" s="2"/>
      <c r="D642" s="2"/>
      <c r="E642" s="2"/>
      <c r="F642" s="2"/>
      <c r="G642" s="2"/>
      <c r="H642" s="40"/>
      <c r="I642" s="2"/>
      <c r="J642" s="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2"/>
      <c r="AJ642" s="2"/>
      <c r="AK642" s="2"/>
      <c r="AL642" s="2"/>
      <c r="AM642" s="2"/>
      <c r="AN642" s="2"/>
      <c r="AO642" s="2"/>
    </row>
    <row r="643" spans="1:41" ht="13.5">
      <c r="A643" s="2"/>
      <c r="B643" s="2"/>
      <c r="C643" s="2"/>
      <c r="D643" s="2"/>
      <c r="E643" s="2"/>
      <c r="F643" s="2"/>
      <c r="G643" s="2"/>
      <c r="H643" s="40"/>
      <c r="I643" s="2"/>
      <c r="J643" s="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2"/>
      <c r="AJ643" s="2"/>
      <c r="AK643" s="2"/>
      <c r="AL643" s="2"/>
      <c r="AM643" s="2"/>
      <c r="AN643" s="2"/>
      <c r="AO643" s="2"/>
    </row>
    <row r="644" spans="1:41" ht="13.5">
      <c r="A644" s="2"/>
      <c r="B644" s="2"/>
      <c r="C644" s="2"/>
      <c r="D644" s="2"/>
      <c r="E644" s="2"/>
      <c r="F644" s="2"/>
      <c r="G644" s="2"/>
      <c r="H644" s="40"/>
      <c r="I644" s="2"/>
      <c r="J644" s="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2"/>
      <c r="AJ644" s="2"/>
      <c r="AK644" s="2"/>
      <c r="AL644" s="2"/>
      <c r="AM644" s="2"/>
      <c r="AN644" s="2"/>
      <c r="AO644" s="2"/>
    </row>
    <row r="645" spans="1:41" ht="13.5">
      <c r="A645" s="2"/>
      <c r="B645" s="2"/>
      <c r="C645" s="2"/>
      <c r="D645" s="2"/>
      <c r="E645" s="2"/>
      <c r="F645" s="2"/>
      <c r="G645" s="2"/>
      <c r="H645" s="40"/>
      <c r="I645" s="2"/>
      <c r="J645" s="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2"/>
      <c r="AJ645" s="2"/>
      <c r="AK645" s="2"/>
      <c r="AL645" s="2"/>
      <c r="AM645" s="2"/>
      <c r="AN645" s="2"/>
      <c r="AO645" s="2"/>
    </row>
    <row r="646" spans="1:41" ht="13.5">
      <c r="A646" s="2"/>
      <c r="B646" s="2"/>
      <c r="C646" s="2"/>
      <c r="D646" s="2"/>
      <c r="E646" s="2"/>
      <c r="F646" s="2"/>
      <c r="G646" s="2"/>
      <c r="H646" s="40"/>
      <c r="I646" s="2"/>
      <c r="J646" s="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2"/>
      <c r="AJ646" s="2"/>
      <c r="AK646" s="2"/>
      <c r="AL646" s="2"/>
      <c r="AM646" s="2"/>
      <c r="AN646" s="2"/>
      <c r="AO646" s="2"/>
    </row>
    <row r="647" spans="1:41" ht="13.5">
      <c r="A647" s="2"/>
      <c r="B647" s="2"/>
      <c r="C647" s="2"/>
      <c r="D647" s="2"/>
      <c r="E647" s="2"/>
      <c r="F647" s="2"/>
      <c r="G647" s="2"/>
      <c r="H647" s="40"/>
      <c r="I647" s="2"/>
      <c r="J647" s="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2"/>
      <c r="AJ647" s="2"/>
      <c r="AK647" s="2"/>
      <c r="AL647" s="2"/>
      <c r="AM647" s="2"/>
      <c r="AN647" s="2"/>
      <c r="AO647" s="2"/>
    </row>
    <row r="648" spans="1:41" ht="13.5">
      <c r="A648" s="2"/>
      <c r="B648" s="2"/>
      <c r="C648" s="2"/>
      <c r="D648" s="2"/>
      <c r="E648" s="2"/>
      <c r="F648" s="2"/>
      <c r="G648" s="2"/>
      <c r="H648" s="40"/>
      <c r="I648" s="2"/>
      <c r="J648" s="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2"/>
      <c r="AJ648" s="2"/>
      <c r="AK648" s="2"/>
      <c r="AL648" s="2"/>
      <c r="AM648" s="2"/>
      <c r="AN648" s="2"/>
      <c r="AO648" s="2"/>
    </row>
    <row r="649" spans="1:41" ht="13.5">
      <c r="A649" s="2"/>
      <c r="B649" s="2"/>
      <c r="C649" s="2"/>
      <c r="D649" s="2"/>
      <c r="E649" s="2"/>
      <c r="F649" s="2"/>
      <c r="G649" s="2"/>
      <c r="H649" s="40"/>
      <c r="I649" s="2"/>
      <c r="J649" s="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2"/>
      <c r="AJ649" s="2"/>
      <c r="AK649" s="2"/>
      <c r="AL649" s="2"/>
      <c r="AM649" s="2"/>
      <c r="AN649" s="2"/>
      <c r="AO649" s="2"/>
    </row>
    <row r="650" spans="1:41" ht="13.5">
      <c r="A650" s="2"/>
      <c r="B650" s="2"/>
      <c r="C650" s="2"/>
      <c r="D650" s="2"/>
      <c r="E650" s="2"/>
      <c r="F650" s="2"/>
      <c r="G650" s="2"/>
      <c r="H650" s="40"/>
      <c r="I650" s="2"/>
      <c r="J650" s="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2"/>
      <c r="AJ650" s="2"/>
      <c r="AK650" s="2"/>
      <c r="AL650" s="2"/>
      <c r="AM650" s="2"/>
      <c r="AN650" s="2"/>
      <c r="AO650" s="2"/>
    </row>
    <row r="651" spans="1:41" ht="13.5">
      <c r="A651" s="2"/>
      <c r="B651" s="2"/>
      <c r="C651" s="2"/>
      <c r="D651" s="2"/>
      <c r="E651" s="2"/>
      <c r="F651" s="2"/>
      <c r="G651" s="2"/>
      <c r="H651" s="40"/>
      <c r="I651" s="2"/>
      <c r="J651" s="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2"/>
      <c r="AJ651" s="2"/>
      <c r="AK651" s="2"/>
      <c r="AL651" s="2"/>
      <c r="AM651" s="2"/>
      <c r="AN651" s="2"/>
      <c r="AO651" s="2"/>
    </row>
    <row r="652" spans="1:41" ht="13.5">
      <c r="A652" s="2"/>
      <c r="B652" s="2"/>
      <c r="C652" s="2"/>
      <c r="D652" s="2"/>
      <c r="E652" s="2"/>
      <c r="F652" s="2"/>
      <c r="G652" s="2"/>
      <c r="H652" s="40"/>
      <c r="I652" s="2"/>
      <c r="J652" s="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2"/>
      <c r="AJ652" s="2"/>
      <c r="AK652" s="2"/>
      <c r="AL652" s="2"/>
      <c r="AM652" s="2"/>
      <c r="AN652" s="2"/>
      <c r="AO652" s="2"/>
    </row>
    <row r="653" spans="1:41" ht="13.5">
      <c r="A653" s="2"/>
      <c r="B653" s="2"/>
      <c r="C653" s="2"/>
      <c r="D653" s="2"/>
      <c r="E653" s="2"/>
      <c r="F653" s="2"/>
      <c r="G653" s="2"/>
      <c r="H653" s="40"/>
      <c r="I653" s="2"/>
      <c r="J653" s="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2"/>
      <c r="AJ653" s="2"/>
      <c r="AK653" s="2"/>
      <c r="AL653" s="2"/>
      <c r="AM653" s="2"/>
      <c r="AN653" s="2"/>
      <c r="AO653" s="2"/>
    </row>
    <row r="654" spans="1:41" ht="13.5">
      <c r="A654" s="2"/>
      <c r="B654" s="2"/>
      <c r="C654" s="2"/>
      <c r="D654" s="2"/>
      <c r="E654" s="2"/>
      <c r="F654" s="2"/>
      <c r="G654" s="2"/>
      <c r="H654" s="40"/>
      <c r="I654" s="2"/>
      <c r="J654" s="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2"/>
      <c r="AJ654" s="2"/>
      <c r="AK654" s="2"/>
      <c r="AL654" s="2"/>
      <c r="AM654" s="2"/>
      <c r="AN654" s="2"/>
      <c r="AO654" s="2"/>
    </row>
    <row r="655" spans="1:41" ht="13.5">
      <c r="A655" s="2"/>
      <c r="B655" s="2"/>
      <c r="C655" s="2"/>
      <c r="D655" s="2"/>
      <c r="E655" s="2"/>
      <c r="F655" s="2"/>
      <c r="G655" s="2"/>
      <c r="H655" s="40"/>
      <c r="I655" s="2"/>
      <c r="J655" s="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2"/>
      <c r="AJ655" s="2"/>
      <c r="AK655" s="2"/>
      <c r="AL655" s="2"/>
      <c r="AM655" s="2"/>
      <c r="AN655" s="2"/>
      <c r="AO655" s="2"/>
    </row>
    <row r="656" spans="1:41" ht="13.5">
      <c r="A656" s="2"/>
      <c r="B656" s="2"/>
      <c r="C656" s="2"/>
      <c r="D656" s="2"/>
      <c r="E656" s="2"/>
      <c r="F656" s="2"/>
      <c r="G656" s="2"/>
      <c r="H656" s="40"/>
      <c r="I656" s="2"/>
      <c r="J656" s="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2"/>
      <c r="AJ656" s="2"/>
      <c r="AK656" s="2"/>
      <c r="AL656" s="2"/>
      <c r="AM656" s="2"/>
      <c r="AN656" s="2"/>
      <c r="AO656" s="2"/>
    </row>
    <row r="657" spans="1:41" ht="13.5">
      <c r="A657" s="2"/>
      <c r="B657" s="2"/>
      <c r="C657" s="2"/>
      <c r="D657" s="2"/>
      <c r="E657" s="2"/>
      <c r="F657" s="2"/>
      <c r="G657" s="2"/>
      <c r="H657" s="40"/>
      <c r="I657" s="2"/>
      <c r="J657" s="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2"/>
      <c r="AJ657" s="2"/>
      <c r="AK657" s="2"/>
      <c r="AL657" s="2"/>
      <c r="AM657" s="2"/>
      <c r="AN657" s="2"/>
      <c r="AO657" s="2"/>
    </row>
    <row r="658" spans="1:41" ht="13.5">
      <c r="A658" s="2"/>
      <c r="B658" s="2"/>
      <c r="C658" s="2"/>
      <c r="D658" s="2"/>
      <c r="E658" s="2"/>
      <c r="F658" s="2"/>
      <c r="G658" s="2"/>
      <c r="H658" s="40"/>
      <c r="I658" s="2"/>
      <c r="J658" s="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2"/>
      <c r="AJ658" s="2"/>
      <c r="AK658" s="2"/>
      <c r="AL658" s="2"/>
      <c r="AM658" s="2"/>
      <c r="AN658" s="2"/>
      <c r="AO658" s="2"/>
    </row>
    <row r="659" spans="1:41" ht="13.5">
      <c r="A659" s="2"/>
      <c r="B659" s="2"/>
      <c r="C659" s="2"/>
      <c r="D659" s="2"/>
      <c r="E659" s="2"/>
      <c r="F659" s="2"/>
      <c r="G659" s="2"/>
      <c r="H659" s="40"/>
      <c r="I659" s="2"/>
      <c r="J659" s="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2"/>
      <c r="AJ659" s="2"/>
      <c r="AK659" s="2"/>
      <c r="AL659" s="2"/>
      <c r="AM659" s="2"/>
      <c r="AN659" s="2"/>
      <c r="AO659" s="2"/>
    </row>
    <row r="660" spans="1:41" ht="13.5">
      <c r="A660" s="2"/>
      <c r="B660" s="2"/>
      <c r="C660" s="2"/>
      <c r="D660" s="2"/>
      <c r="E660" s="2"/>
      <c r="F660" s="2"/>
      <c r="G660" s="2"/>
      <c r="H660" s="40"/>
      <c r="I660" s="2"/>
      <c r="J660" s="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2"/>
      <c r="AJ660" s="2"/>
      <c r="AK660" s="2"/>
      <c r="AL660" s="2"/>
      <c r="AM660" s="2"/>
      <c r="AN660" s="2"/>
      <c r="AO660" s="2"/>
    </row>
    <row r="661" spans="1:41" ht="13.5">
      <c r="A661" s="2"/>
      <c r="B661" s="2"/>
      <c r="C661" s="2"/>
      <c r="D661" s="2"/>
      <c r="E661" s="2"/>
      <c r="F661" s="2"/>
      <c r="G661" s="2"/>
      <c r="H661" s="40"/>
      <c r="I661" s="2"/>
      <c r="J661" s="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2"/>
      <c r="AJ661" s="2"/>
      <c r="AK661" s="2"/>
      <c r="AL661" s="2"/>
      <c r="AM661" s="2"/>
      <c r="AN661" s="2"/>
      <c r="AO661" s="2"/>
    </row>
    <row r="662" spans="1:41" ht="13.5">
      <c r="A662" s="2"/>
      <c r="B662" s="2"/>
      <c r="C662" s="2"/>
      <c r="D662" s="2"/>
      <c r="E662" s="2"/>
      <c r="F662" s="2"/>
      <c r="G662" s="2"/>
      <c r="H662" s="40"/>
      <c r="I662" s="2"/>
      <c r="J662" s="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2"/>
      <c r="AJ662" s="2"/>
      <c r="AK662" s="2"/>
      <c r="AL662" s="2"/>
      <c r="AM662" s="2"/>
      <c r="AN662" s="2"/>
      <c r="AO662" s="2"/>
    </row>
    <row r="663" spans="1:41" ht="13.5">
      <c r="A663" s="2"/>
      <c r="B663" s="2"/>
      <c r="C663" s="2"/>
      <c r="D663" s="2"/>
      <c r="E663" s="2"/>
      <c r="F663" s="2"/>
      <c r="G663" s="2"/>
      <c r="H663" s="40"/>
      <c r="I663" s="2"/>
      <c r="J663" s="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2"/>
      <c r="AJ663" s="2"/>
      <c r="AK663" s="2"/>
      <c r="AL663" s="2"/>
      <c r="AM663" s="2"/>
      <c r="AN663" s="2"/>
      <c r="AO663" s="2"/>
    </row>
    <row r="664" spans="1:41" ht="13.5">
      <c r="A664" s="2"/>
      <c r="B664" s="2"/>
      <c r="C664" s="2"/>
      <c r="D664" s="2"/>
      <c r="E664" s="2"/>
      <c r="F664" s="2"/>
      <c r="G664" s="2"/>
      <c r="H664" s="40"/>
      <c r="I664" s="2"/>
      <c r="J664" s="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2"/>
      <c r="AJ664" s="2"/>
      <c r="AK664" s="2"/>
      <c r="AL664" s="2"/>
      <c r="AM664" s="2"/>
      <c r="AN664" s="2"/>
      <c r="AO664" s="2"/>
    </row>
    <row r="665" spans="1:41" ht="13.5">
      <c r="A665" s="2"/>
      <c r="B665" s="2"/>
      <c r="C665" s="2"/>
      <c r="D665" s="2"/>
      <c r="E665" s="2"/>
      <c r="F665" s="2"/>
      <c r="G665" s="2"/>
      <c r="H665" s="40"/>
      <c r="I665" s="2"/>
      <c r="J665" s="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2"/>
      <c r="AJ665" s="2"/>
      <c r="AK665" s="2"/>
      <c r="AL665" s="2"/>
      <c r="AM665" s="2"/>
      <c r="AN665" s="2"/>
      <c r="AO665" s="2"/>
    </row>
    <row r="666" spans="1:41" ht="13.5">
      <c r="A666" s="2"/>
      <c r="B666" s="2"/>
      <c r="C666" s="2"/>
      <c r="D666" s="2"/>
      <c r="E666" s="2"/>
      <c r="F666" s="2"/>
      <c r="G666" s="2"/>
      <c r="H666" s="40"/>
      <c r="I666" s="2"/>
      <c r="J666" s="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2"/>
      <c r="AJ666" s="2"/>
      <c r="AK666" s="2"/>
      <c r="AL666" s="2"/>
      <c r="AM666" s="2"/>
      <c r="AN666" s="2"/>
      <c r="AO666" s="2"/>
    </row>
    <row r="667" spans="1:41" ht="13.5">
      <c r="A667" s="2"/>
      <c r="B667" s="2"/>
      <c r="C667" s="2"/>
      <c r="D667" s="2"/>
      <c r="E667" s="2"/>
      <c r="F667" s="2"/>
      <c r="G667" s="2"/>
      <c r="H667" s="40"/>
      <c r="I667" s="2"/>
      <c r="J667" s="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2"/>
      <c r="AJ667" s="2"/>
      <c r="AK667" s="2"/>
      <c r="AL667" s="2"/>
      <c r="AM667" s="2"/>
      <c r="AN667" s="2"/>
      <c r="AO667" s="2"/>
    </row>
    <row r="668" spans="1:41" ht="13.5">
      <c r="A668" s="2"/>
      <c r="B668" s="2"/>
      <c r="C668" s="2"/>
      <c r="D668" s="2"/>
      <c r="E668" s="2"/>
      <c r="F668" s="2"/>
      <c r="G668" s="2"/>
      <c r="H668" s="40"/>
      <c r="I668" s="2"/>
      <c r="J668" s="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2"/>
      <c r="AJ668" s="2"/>
      <c r="AK668" s="2"/>
      <c r="AL668" s="2"/>
      <c r="AM668" s="2"/>
      <c r="AN668" s="2"/>
      <c r="AO668" s="2"/>
    </row>
    <row r="669" spans="1:41" ht="13.5">
      <c r="A669" s="2"/>
      <c r="B669" s="2"/>
      <c r="C669" s="2"/>
      <c r="D669" s="2"/>
      <c r="E669" s="2"/>
      <c r="F669" s="2"/>
      <c r="G669" s="2"/>
      <c r="H669" s="40"/>
      <c r="I669" s="2"/>
      <c r="J669" s="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2"/>
      <c r="AJ669" s="2"/>
      <c r="AK669" s="2"/>
      <c r="AL669" s="2"/>
      <c r="AM669" s="2"/>
      <c r="AN669" s="2"/>
      <c r="AO669" s="2"/>
    </row>
    <row r="670" spans="1:41" ht="13.5">
      <c r="A670" s="2"/>
      <c r="B670" s="2"/>
      <c r="C670" s="2"/>
      <c r="D670" s="2"/>
      <c r="E670" s="2"/>
      <c r="F670" s="2"/>
      <c r="G670" s="2"/>
      <c r="H670" s="40"/>
      <c r="I670" s="2"/>
      <c r="J670" s="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2"/>
      <c r="AJ670" s="2"/>
      <c r="AK670" s="2"/>
      <c r="AL670" s="2"/>
      <c r="AM670" s="2"/>
      <c r="AN670" s="2"/>
      <c r="AO670" s="2"/>
    </row>
    <row r="671" spans="1:41" ht="13.5">
      <c r="A671" s="2"/>
      <c r="B671" s="2"/>
      <c r="C671" s="2"/>
      <c r="D671" s="2"/>
      <c r="E671" s="2"/>
      <c r="F671" s="2"/>
      <c r="G671" s="2"/>
      <c r="H671" s="40"/>
      <c r="I671" s="2"/>
      <c r="J671" s="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2"/>
      <c r="AJ671" s="2"/>
      <c r="AK671" s="2"/>
      <c r="AL671" s="2"/>
      <c r="AM671" s="2"/>
      <c r="AN671" s="2"/>
      <c r="AO671" s="2"/>
    </row>
    <row r="672" spans="1:41" ht="13.5">
      <c r="A672" s="2"/>
      <c r="B672" s="2"/>
      <c r="C672" s="2"/>
      <c r="D672" s="2"/>
      <c r="E672" s="2"/>
      <c r="F672" s="2"/>
      <c r="G672" s="2"/>
      <c r="H672" s="40"/>
      <c r="I672" s="2"/>
      <c r="J672" s="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2"/>
      <c r="AJ672" s="2"/>
      <c r="AK672" s="2"/>
      <c r="AL672" s="2"/>
      <c r="AM672" s="2"/>
      <c r="AN672" s="2"/>
      <c r="AO672" s="2"/>
    </row>
    <row r="673" spans="1:41" ht="13.5">
      <c r="A673" s="2"/>
      <c r="B673" s="2"/>
      <c r="C673" s="2"/>
      <c r="D673" s="2"/>
      <c r="E673" s="2"/>
      <c r="F673" s="2"/>
      <c r="G673" s="2"/>
      <c r="H673" s="40"/>
      <c r="I673" s="2"/>
      <c r="J673" s="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2"/>
      <c r="AJ673" s="2"/>
      <c r="AK673" s="2"/>
      <c r="AL673" s="2"/>
      <c r="AM673" s="2"/>
      <c r="AN673" s="2"/>
      <c r="AO673" s="2"/>
    </row>
    <row r="674" spans="1:41" ht="13.5">
      <c r="A674" s="2"/>
      <c r="B674" s="2"/>
      <c r="C674" s="2"/>
      <c r="D674" s="2"/>
      <c r="E674" s="2"/>
      <c r="F674" s="2"/>
      <c r="G674" s="2"/>
      <c r="H674" s="40"/>
      <c r="I674" s="2"/>
      <c r="J674" s="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2"/>
      <c r="AJ674" s="2"/>
      <c r="AK674" s="2"/>
      <c r="AL674" s="2"/>
      <c r="AM674" s="2"/>
      <c r="AN674" s="2"/>
      <c r="AO674" s="2"/>
    </row>
    <row r="675" spans="1:41" ht="13.5">
      <c r="A675" s="2"/>
      <c r="B675" s="2"/>
      <c r="C675" s="2"/>
      <c r="D675" s="2"/>
      <c r="E675" s="2"/>
      <c r="F675" s="2"/>
      <c r="G675" s="2"/>
      <c r="H675" s="40"/>
      <c r="I675" s="2"/>
      <c r="J675" s="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2"/>
      <c r="AJ675" s="2"/>
      <c r="AK675" s="2"/>
      <c r="AL675" s="2"/>
      <c r="AM675" s="2"/>
      <c r="AN675" s="2"/>
      <c r="AO675" s="2"/>
    </row>
    <row r="676" spans="1:41" ht="13.5">
      <c r="A676" s="2"/>
      <c r="B676" s="2"/>
      <c r="C676" s="2"/>
      <c r="D676" s="2"/>
      <c r="E676" s="2"/>
      <c r="F676" s="2"/>
      <c r="G676" s="2"/>
      <c r="H676" s="40"/>
      <c r="I676" s="2"/>
      <c r="J676" s="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2"/>
      <c r="AJ676" s="2"/>
      <c r="AK676" s="2"/>
      <c r="AL676" s="2"/>
      <c r="AM676" s="2"/>
      <c r="AN676" s="2"/>
      <c r="AO676" s="2"/>
    </row>
    <row r="677" spans="1:41" ht="13.5">
      <c r="A677" s="2"/>
      <c r="B677" s="2"/>
      <c r="C677" s="2"/>
      <c r="D677" s="2"/>
      <c r="E677" s="2"/>
      <c r="F677" s="2"/>
      <c r="G677" s="2"/>
      <c r="H677" s="40"/>
      <c r="I677" s="2"/>
      <c r="J677" s="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2"/>
      <c r="AJ677" s="2"/>
      <c r="AK677" s="2"/>
      <c r="AL677" s="2"/>
      <c r="AM677" s="2"/>
      <c r="AN677" s="2"/>
      <c r="AO677" s="2"/>
    </row>
    <row r="678" spans="1:41" ht="13.5">
      <c r="A678" s="2"/>
      <c r="B678" s="2"/>
      <c r="C678" s="2"/>
      <c r="D678" s="2"/>
      <c r="E678" s="2"/>
      <c r="F678" s="2"/>
      <c r="G678" s="2"/>
      <c r="H678" s="40"/>
      <c r="I678" s="2"/>
      <c r="J678" s="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2"/>
      <c r="AJ678" s="2"/>
      <c r="AK678" s="2"/>
      <c r="AL678" s="2"/>
      <c r="AM678" s="2"/>
      <c r="AN678" s="2"/>
      <c r="AO678" s="2"/>
    </row>
    <row r="679" spans="1:41" ht="13.5">
      <c r="A679" s="2"/>
      <c r="B679" s="2"/>
      <c r="C679" s="2"/>
      <c r="D679" s="2"/>
      <c r="E679" s="2"/>
      <c r="F679" s="2"/>
      <c r="G679" s="2"/>
      <c r="H679" s="40"/>
      <c r="I679" s="2"/>
      <c r="J679" s="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2"/>
      <c r="AJ679" s="2"/>
      <c r="AK679" s="2"/>
      <c r="AL679" s="2"/>
      <c r="AM679" s="2"/>
      <c r="AN679" s="2"/>
      <c r="AO679" s="2"/>
    </row>
    <row r="680" spans="1:41" ht="13.5">
      <c r="A680" s="2"/>
      <c r="B680" s="2"/>
      <c r="C680" s="2"/>
      <c r="D680" s="2"/>
      <c r="E680" s="2"/>
      <c r="F680" s="2"/>
      <c r="G680" s="2"/>
      <c r="H680" s="40"/>
      <c r="I680" s="2"/>
      <c r="J680" s="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2"/>
      <c r="AJ680" s="2"/>
      <c r="AK680" s="2"/>
      <c r="AL680" s="2"/>
      <c r="AM680" s="2"/>
      <c r="AN680" s="2"/>
      <c r="AO680" s="2"/>
    </row>
    <row r="681" spans="1:41" ht="13.5">
      <c r="A681" s="2"/>
      <c r="B681" s="2"/>
      <c r="C681" s="2"/>
      <c r="D681" s="2"/>
      <c r="E681" s="2"/>
      <c r="F681" s="2"/>
      <c r="G681" s="2"/>
      <c r="H681" s="40"/>
      <c r="I681" s="2"/>
      <c r="J681" s="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2"/>
      <c r="AJ681" s="2"/>
      <c r="AK681" s="2"/>
      <c r="AL681" s="2"/>
      <c r="AM681" s="2"/>
      <c r="AN681" s="2"/>
      <c r="AO681" s="2"/>
    </row>
    <row r="682" spans="1:41" ht="13.5">
      <c r="A682" s="2"/>
      <c r="B682" s="2"/>
      <c r="C682" s="2"/>
      <c r="D682" s="2"/>
      <c r="E682" s="2"/>
      <c r="F682" s="2"/>
      <c r="G682" s="2"/>
      <c r="H682" s="40"/>
      <c r="I682" s="2"/>
      <c r="J682" s="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2"/>
      <c r="AJ682" s="2"/>
      <c r="AK682" s="2"/>
      <c r="AL682" s="2"/>
      <c r="AM682" s="2"/>
      <c r="AN682" s="2"/>
      <c r="AO682" s="2"/>
    </row>
    <row r="683" spans="1:41" ht="13.5">
      <c r="A683" s="2"/>
      <c r="B683" s="2"/>
      <c r="C683" s="2"/>
      <c r="D683" s="2"/>
      <c r="E683" s="2"/>
      <c r="F683" s="2"/>
      <c r="G683" s="2"/>
      <c r="H683" s="40"/>
      <c r="I683" s="2"/>
      <c r="J683" s="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2"/>
      <c r="AJ683" s="2"/>
      <c r="AK683" s="2"/>
      <c r="AL683" s="2"/>
      <c r="AM683" s="2"/>
      <c r="AN683" s="2"/>
      <c r="AO683" s="2"/>
    </row>
    <row r="684" spans="1:41" ht="13.5">
      <c r="A684" s="2"/>
      <c r="B684" s="2"/>
      <c r="C684" s="2"/>
      <c r="D684" s="2"/>
      <c r="E684" s="2"/>
      <c r="F684" s="2"/>
      <c r="G684" s="2"/>
      <c r="H684" s="40"/>
      <c r="I684" s="2"/>
      <c r="J684" s="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2"/>
      <c r="AJ684" s="2"/>
      <c r="AK684" s="2"/>
      <c r="AL684" s="2"/>
      <c r="AM684" s="2"/>
      <c r="AN684" s="2"/>
      <c r="AO684" s="2"/>
    </row>
    <row r="685" spans="1:41" ht="13.5">
      <c r="A685" s="2"/>
      <c r="B685" s="2"/>
      <c r="C685" s="2"/>
      <c r="D685" s="2"/>
      <c r="E685" s="2"/>
      <c r="F685" s="2"/>
      <c r="G685" s="2"/>
      <c r="H685" s="40"/>
      <c r="I685" s="2"/>
      <c r="J685" s="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2"/>
      <c r="AJ685" s="2"/>
      <c r="AK685" s="2"/>
      <c r="AL685" s="2"/>
      <c r="AM685" s="2"/>
      <c r="AN685" s="2"/>
      <c r="AO685" s="2"/>
    </row>
    <row r="686" spans="1:41" ht="13.5">
      <c r="A686" s="2"/>
      <c r="B686" s="2"/>
      <c r="C686" s="2"/>
      <c r="D686" s="2"/>
      <c r="E686" s="2"/>
      <c r="F686" s="2"/>
      <c r="G686" s="2"/>
      <c r="H686" s="40"/>
      <c r="I686" s="2"/>
      <c r="J686" s="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2"/>
      <c r="AJ686" s="2"/>
      <c r="AK686" s="2"/>
      <c r="AL686" s="2"/>
      <c r="AM686" s="2"/>
      <c r="AN686" s="2"/>
      <c r="AO686" s="2"/>
    </row>
    <row r="687" spans="1:41" ht="13.5">
      <c r="A687" s="2"/>
      <c r="B687" s="2"/>
      <c r="C687" s="2"/>
      <c r="D687" s="2"/>
      <c r="E687" s="2"/>
      <c r="F687" s="2"/>
      <c r="G687" s="2"/>
      <c r="H687" s="40"/>
      <c r="I687" s="2"/>
      <c r="J687" s="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2"/>
      <c r="AJ687" s="2"/>
      <c r="AK687" s="2"/>
      <c r="AL687" s="2"/>
      <c r="AM687" s="2"/>
      <c r="AN687" s="2"/>
      <c r="AO687" s="2"/>
    </row>
    <row r="688" spans="1:41" ht="13.5">
      <c r="A688" s="2"/>
      <c r="B688" s="2"/>
      <c r="C688" s="2"/>
      <c r="D688" s="2"/>
      <c r="E688" s="2"/>
      <c r="F688" s="2"/>
      <c r="G688" s="2"/>
      <c r="H688" s="40"/>
      <c r="I688" s="2"/>
      <c r="J688" s="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2"/>
      <c r="AJ688" s="2"/>
      <c r="AK688" s="2"/>
      <c r="AL688" s="2"/>
      <c r="AM688" s="2"/>
      <c r="AN688" s="2"/>
      <c r="AO688" s="2"/>
    </row>
    <row r="689" spans="1:41" ht="13.5">
      <c r="A689" s="2"/>
      <c r="B689" s="2"/>
      <c r="C689" s="2"/>
      <c r="D689" s="2"/>
      <c r="E689" s="2"/>
      <c r="F689" s="2"/>
      <c r="G689" s="2"/>
      <c r="H689" s="40"/>
      <c r="I689" s="2"/>
      <c r="J689" s="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2"/>
      <c r="AJ689" s="2"/>
      <c r="AK689" s="2"/>
      <c r="AL689" s="2"/>
      <c r="AM689" s="2"/>
      <c r="AN689" s="2"/>
      <c r="AO689" s="2"/>
    </row>
    <row r="690" spans="1:41" ht="13.5">
      <c r="A690" s="2"/>
      <c r="B690" s="2"/>
      <c r="C690" s="2"/>
      <c r="D690" s="2"/>
      <c r="E690" s="2"/>
      <c r="F690" s="2"/>
      <c r="G690" s="2"/>
      <c r="H690" s="40"/>
      <c r="I690" s="2"/>
      <c r="J690" s="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2"/>
      <c r="AJ690" s="2"/>
      <c r="AK690" s="2"/>
      <c r="AL690" s="2"/>
      <c r="AM690" s="2"/>
      <c r="AN690" s="2"/>
      <c r="AO690" s="2"/>
    </row>
    <row r="691" spans="1:41" ht="13.5">
      <c r="A691" s="2"/>
      <c r="B691" s="2"/>
      <c r="C691" s="2"/>
      <c r="D691" s="2"/>
      <c r="E691" s="2"/>
      <c r="F691" s="2"/>
      <c r="G691" s="2"/>
      <c r="H691" s="40"/>
      <c r="I691" s="2"/>
      <c r="J691" s="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2"/>
      <c r="AJ691" s="2"/>
      <c r="AK691" s="2"/>
      <c r="AL691" s="2"/>
      <c r="AM691" s="2"/>
      <c r="AN691" s="2"/>
      <c r="AO691" s="2"/>
    </row>
    <row r="692" spans="1:41" ht="13.5">
      <c r="A692" s="2"/>
      <c r="B692" s="2"/>
      <c r="C692" s="2"/>
      <c r="D692" s="2"/>
      <c r="E692" s="2"/>
      <c r="F692" s="2"/>
      <c r="G692" s="2"/>
      <c r="H692" s="40"/>
      <c r="I692" s="2"/>
      <c r="J692" s="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2"/>
      <c r="AJ692" s="2"/>
      <c r="AK692" s="2"/>
      <c r="AL692" s="2"/>
      <c r="AM692" s="2"/>
      <c r="AN692" s="2"/>
      <c r="AO692" s="2"/>
    </row>
    <row r="693" spans="1:41" ht="13.5">
      <c r="A693" s="2"/>
      <c r="B693" s="2"/>
      <c r="C693" s="2"/>
      <c r="D693" s="2"/>
      <c r="E693" s="2"/>
      <c r="F693" s="2"/>
      <c r="G693" s="2"/>
      <c r="H693" s="40"/>
      <c r="I693" s="2"/>
      <c r="J693" s="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2"/>
      <c r="AJ693" s="2"/>
      <c r="AK693" s="2"/>
      <c r="AL693" s="2"/>
      <c r="AM693" s="2"/>
      <c r="AN693" s="2"/>
      <c r="AO693" s="2"/>
    </row>
    <row r="694" spans="1:41" ht="13.5">
      <c r="A694" s="2"/>
      <c r="B694" s="2"/>
      <c r="C694" s="2"/>
      <c r="D694" s="2"/>
      <c r="E694" s="2"/>
      <c r="F694" s="2"/>
      <c r="G694" s="2"/>
      <c r="H694" s="40"/>
      <c r="I694" s="2"/>
      <c r="J694" s="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2"/>
      <c r="AJ694" s="2"/>
      <c r="AK694" s="2"/>
      <c r="AL694" s="2"/>
      <c r="AM694" s="2"/>
      <c r="AN694" s="2"/>
      <c r="AO694" s="2"/>
    </row>
    <row r="695" spans="1:41" ht="13.5">
      <c r="A695" s="2"/>
      <c r="B695" s="2"/>
      <c r="C695" s="2"/>
      <c r="D695" s="2"/>
      <c r="E695" s="2"/>
      <c r="F695" s="2"/>
      <c r="G695" s="2"/>
      <c r="H695" s="40"/>
      <c r="I695" s="2"/>
      <c r="J695" s="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2"/>
      <c r="AJ695" s="2"/>
      <c r="AK695" s="2"/>
      <c r="AL695" s="2"/>
      <c r="AM695" s="2"/>
      <c r="AN695" s="2"/>
      <c r="AO695" s="2"/>
    </row>
    <row r="696" spans="1:41" ht="13.5">
      <c r="A696" s="2"/>
      <c r="B696" s="2"/>
      <c r="C696" s="2"/>
      <c r="D696" s="2"/>
      <c r="E696" s="2"/>
      <c r="F696" s="2"/>
      <c r="G696" s="2"/>
      <c r="H696" s="40"/>
      <c r="I696" s="2"/>
      <c r="J696" s="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2"/>
      <c r="AJ696" s="2"/>
      <c r="AK696" s="2"/>
      <c r="AL696" s="2"/>
      <c r="AM696" s="2"/>
      <c r="AN696" s="2"/>
      <c r="AO696" s="2"/>
    </row>
    <row r="697" spans="1:41" ht="13.5">
      <c r="A697" s="2"/>
      <c r="B697" s="2"/>
      <c r="C697" s="2"/>
      <c r="D697" s="2"/>
      <c r="E697" s="2"/>
      <c r="F697" s="2"/>
      <c r="G697" s="2"/>
      <c r="H697" s="40"/>
      <c r="I697" s="2"/>
      <c r="J697" s="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2"/>
      <c r="AJ697" s="2"/>
      <c r="AK697" s="2"/>
      <c r="AL697" s="2"/>
      <c r="AM697" s="2"/>
      <c r="AN697" s="2"/>
      <c r="AO697" s="2"/>
    </row>
    <row r="698" spans="1:41" ht="13.5">
      <c r="A698" s="2"/>
      <c r="B698" s="2"/>
      <c r="C698" s="2"/>
      <c r="D698" s="2"/>
      <c r="E698" s="2"/>
      <c r="F698" s="2"/>
      <c r="G698" s="2"/>
      <c r="H698" s="40"/>
      <c r="I698" s="2"/>
      <c r="J698" s="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2"/>
      <c r="AJ698" s="2"/>
      <c r="AK698" s="2"/>
      <c r="AL698" s="2"/>
      <c r="AM698" s="2"/>
      <c r="AN698" s="2"/>
      <c r="AO698" s="2"/>
    </row>
    <row r="699" spans="1:41" ht="13.5">
      <c r="A699" s="2"/>
      <c r="B699" s="2"/>
      <c r="C699" s="2"/>
      <c r="D699" s="2"/>
      <c r="E699" s="2"/>
      <c r="F699" s="2"/>
      <c r="G699" s="2"/>
      <c r="H699" s="40"/>
      <c r="I699" s="2"/>
      <c r="J699" s="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2"/>
      <c r="AJ699" s="2"/>
      <c r="AK699" s="2"/>
      <c r="AL699" s="2"/>
      <c r="AM699" s="2"/>
      <c r="AN699" s="2"/>
      <c r="AO699" s="2"/>
    </row>
    <row r="700" spans="1:41" ht="13.5">
      <c r="A700" s="2"/>
      <c r="B700" s="2"/>
      <c r="C700" s="2"/>
      <c r="D700" s="2"/>
      <c r="E700" s="2"/>
      <c r="F700" s="2"/>
      <c r="G700" s="2"/>
      <c r="H700" s="40"/>
      <c r="I700" s="2"/>
      <c r="J700" s="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2"/>
      <c r="AJ700" s="2"/>
      <c r="AK700" s="2"/>
      <c r="AL700" s="2"/>
      <c r="AM700" s="2"/>
      <c r="AN700" s="2"/>
      <c r="AO700" s="2"/>
    </row>
    <row r="701" spans="1:41" ht="13.5">
      <c r="A701" s="2"/>
      <c r="B701" s="2"/>
      <c r="C701" s="2"/>
      <c r="D701" s="2"/>
      <c r="E701" s="2"/>
      <c r="F701" s="2"/>
      <c r="G701" s="2"/>
      <c r="H701" s="40"/>
      <c r="I701" s="2"/>
      <c r="J701" s="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2"/>
      <c r="AJ701" s="2"/>
      <c r="AK701" s="2"/>
      <c r="AL701" s="2"/>
      <c r="AM701" s="2"/>
      <c r="AN701" s="2"/>
      <c r="AO701" s="2"/>
    </row>
    <row r="702" spans="1:41" ht="13.5">
      <c r="A702" s="2"/>
      <c r="B702" s="2"/>
      <c r="C702" s="2"/>
      <c r="D702" s="2"/>
      <c r="E702" s="2"/>
      <c r="F702" s="2"/>
      <c r="G702" s="2"/>
      <c r="H702" s="40"/>
      <c r="I702" s="2"/>
      <c r="J702" s="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2"/>
      <c r="AJ702" s="2"/>
      <c r="AK702" s="2"/>
      <c r="AL702" s="2"/>
      <c r="AM702" s="2"/>
      <c r="AN702" s="2"/>
      <c r="AO702" s="2"/>
    </row>
    <row r="703" spans="1:41" ht="13.5">
      <c r="A703" s="2"/>
      <c r="B703" s="2"/>
      <c r="C703" s="2"/>
      <c r="D703" s="2"/>
      <c r="E703" s="2"/>
      <c r="F703" s="2"/>
      <c r="G703" s="2"/>
      <c r="H703" s="40"/>
      <c r="I703" s="2"/>
      <c r="J703" s="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2"/>
      <c r="AJ703" s="2"/>
      <c r="AK703" s="2"/>
      <c r="AL703" s="2"/>
      <c r="AM703" s="2"/>
      <c r="AN703" s="2"/>
      <c r="AO703" s="2"/>
    </row>
    <row r="704" spans="1:41" ht="13.5">
      <c r="A704" s="2"/>
      <c r="B704" s="2"/>
      <c r="C704" s="2"/>
      <c r="D704" s="2"/>
      <c r="E704" s="2"/>
      <c r="F704" s="2"/>
      <c r="G704" s="2"/>
      <c r="H704" s="40"/>
      <c r="I704" s="2"/>
      <c r="J704" s="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2"/>
      <c r="AJ704" s="2"/>
      <c r="AK704" s="2"/>
      <c r="AL704" s="2"/>
      <c r="AM704" s="2"/>
      <c r="AN704" s="2"/>
      <c r="AO704" s="2"/>
    </row>
    <row r="705" spans="1:41" ht="13.5">
      <c r="A705" s="2"/>
      <c r="B705" s="2"/>
      <c r="C705" s="2"/>
      <c r="D705" s="2"/>
      <c r="E705" s="2"/>
      <c r="F705" s="2"/>
      <c r="G705" s="2"/>
      <c r="H705" s="40"/>
      <c r="I705" s="2"/>
      <c r="J705" s="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2"/>
      <c r="AJ705" s="2"/>
      <c r="AK705" s="2"/>
      <c r="AL705" s="2"/>
      <c r="AM705" s="2"/>
      <c r="AN705" s="2"/>
      <c r="AO705" s="2"/>
    </row>
    <row r="706" spans="1:41" ht="13.5">
      <c r="A706" s="2"/>
      <c r="B706" s="2"/>
      <c r="C706" s="2"/>
      <c r="D706" s="2"/>
      <c r="E706" s="2"/>
      <c r="F706" s="2"/>
      <c r="G706" s="2"/>
      <c r="H706" s="40"/>
      <c r="I706" s="2"/>
      <c r="J706" s="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2"/>
      <c r="AJ706" s="2"/>
      <c r="AK706" s="2"/>
      <c r="AL706" s="2"/>
      <c r="AM706" s="2"/>
      <c r="AN706" s="2"/>
      <c r="AO706" s="2"/>
    </row>
    <row r="707" spans="1:41" ht="13.5">
      <c r="A707" s="2"/>
      <c r="B707" s="2"/>
      <c r="C707" s="2"/>
      <c r="D707" s="2"/>
      <c r="E707" s="2"/>
      <c r="F707" s="2"/>
      <c r="G707" s="2"/>
      <c r="H707" s="40"/>
      <c r="I707" s="2"/>
      <c r="J707" s="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2"/>
      <c r="AJ707" s="2"/>
      <c r="AK707" s="2"/>
      <c r="AL707" s="2"/>
      <c r="AM707" s="2"/>
      <c r="AN707" s="2"/>
      <c r="AO707" s="2"/>
    </row>
    <row r="708" spans="1:41" ht="13.5">
      <c r="A708" s="2"/>
      <c r="B708" s="2"/>
      <c r="C708" s="2"/>
      <c r="D708" s="2"/>
      <c r="E708" s="2"/>
      <c r="F708" s="2"/>
      <c r="G708" s="2"/>
      <c r="H708" s="40"/>
      <c r="I708" s="2"/>
      <c r="J708" s="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2"/>
      <c r="AJ708" s="2"/>
      <c r="AK708" s="2"/>
      <c r="AL708" s="2"/>
      <c r="AM708" s="2"/>
      <c r="AN708" s="2"/>
      <c r="AO708" s="2"/>
    </row>
    <row r="709" spans="1:41" ht="13.5">
      <c r="A709" s="2"/>
      <c r="B709" s="2"/>
      <c r="C709" s="2"/>
      <c r="D709" s="2"/>
      <c r="E709" s="2"/>
      <c r="F709" s="2"/>
      <c r="G709" s="2"/>
      <c r="H709" s="40"/>
      <c r="I709" s="2"/>
      <c r="J709" s="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2"/>
      <c r="AJ709" s="2"/>
      <c r="AK709" s="2"/>
      <c r="AL709" s="2"/>
      <c r="AM709" s="2"/>
      <c r="AN709" s="2"/>
      <c r="AO709" s="2"/>
    </row>
    <row r="710" spans="1:41" ht="13.5">
      <c r="A710" s="2"/>
      <c r="B710" s="2"/>
      <c r="C710" s="2"/>
      <c r="D710" s="2"/>
      <c r="E710" s="2"/>
      <c r="F710" s="2"/>
      <c r="G710" s="2"/>
      <c r="H710" s="40"/>
      <c r="I710" s="2"/>
      <c r="J710" s="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2"/>
      <c r="AJ710" s="2"/>
      <c r="AK710" s="2"/>
      <c r="AL710" s="2"/>
      <c r="AM710" s="2"/>
      <c r="AN710" s="2"/>
      <c r="AO710" s="2"/>
    </row>
    <row r="711" spans="1:41" ht="13.5">
      <c r="A711" s="2"/>
      <c r="B711" s="2"/>
      <c r="C711" s="2"/>
      <c r="D711" s="2"/>
      <c r="E711" s="2"/>
      <c r="F711" s="2"/>
      <c r="G711" s="2"/>
      <c r="H711" s="40"/>
      <c r="I711" s="2"/>
      <c r="J711" s="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2"/>
      <c r="AJ711" s="2"/>
      <c r="AK711" s="2"/>
      <c r="AL711" s="2"/>
      <c r="AM711" s="2"/>
      <c r="AN711" s="2"/>
      <c r="AO711" s="2"/>
    </row>
    <row r="712" spans="1:41" ht="13.5">
      <c r="A712" s="2"/>
      <c r="B712" s="2"/>
      <c r="C712" s="2"/>
      <c r="D712" s="2"/>
      <c r="E712" s="2"/>
      <c r="F712" s="2"/>
      <c r="G712" s="2"/>
      <c r="H712" s="40"/>
      <c r="I712" s="2"/>
      <c r="J712" s="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2"/>
      <c r="AJ712" s="2"/>
      <c r="AK712" s="2"/>
      <c r="AL712" s="2"/>
      <c r="AM712" s="2"/>
      <c r="AN712" s="2"/>
      <c r="AO712" s="2"/>
    </row>
    <row r="713" spans="1:41" ht="13.5">
      <c r="A713" s="2"/>
      <c r="B713" s="2"/>
      <c r="C713" s="2"/>
      <c r="D713" s="2"/>
      <c r="E713" s="2"/>
      <c r="F713" s="2"/>
      <c r="G713" s="2"/>
      <c r="H713" s="40"/>
      <c r="I713" s="2"/>
      <c r="J713" s="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2"/>
      <c r="AJ713" s="2"/>
      <c r="AK713" s="2"/>
      <c r="AL713" s="2"/>
      <c r="AM713" s="2"/>
      <c r="AN713" s="2"/>
      <c r="AO713" s="2"/>
    </row>
    <row r="714" spans="1:41" ht="13.5">
      <c r="A714" s="2"/>
      <c r="B714" s="2"/>
      <c r="C714" s="2"/>
      <c r="D714" s="2"/>
      <c r="E714" s="2"/>
      <c r="F714" s="2"/>
      <c r="G714" s="2"/>
      <c r="H714" s="40"/>
      <c r="I714" s="2"/>
      <c r="J714" s="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2"/>
      <c r="AJ714" s="2"/>
      <c r="AK714" s="2"/>
      <c r="AL714" s="2"/>
      <c r="AM714" s="2"/>
      <c r="AN714" s="2"/>
      <c r="AO714" s="2"/>
    </row>
    <row r="715" spans="1:41" ht="13.5">
      <c r="A715" s="2"/>
      <c r="B715" s="2"/>
      <c r="C715" s="2"/>
      <c r="D715" s="2"/>
      <c r="E715" s="2"/>
      <c r="F715" s="2"/>
      <c r="G715" s="2"/>
      <c r="H715" s="40"/>
      <c r="I715" s="2"/>
      <c r="J715" s="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2"/>
      <c r="AJ715" s="2"/>
      <c r="AK715" s="2"/>
      <c r="AL715" s="2"/>
      <c r="AM715" s="2"/>
      <c r="AN715" s="2"/>
      <c r="AO715" s="2"/>
    </row>
    <row r="716" spans="1:41" ht="13.5">
      <c r="A716" s="2"/>
      <c r="B716" s="2"/>
      <c r="C716" s="2"/>
      <c r="D716" s="2"/>
      <c r="E716" s="2"/>
      <c r="F716" s="2"/>
      <c r="G716" s="2"/>
      <c r="H716" s="40"/>
      <c r="I716" s="2"/>
      <c r="J716" s="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2"/>
      <c r="AJ716" s="2"/>
      <c r="AK716" s="2"/>
      <c r="AL716" s="2"/>
      <c r="AM716" s="2"/>
      <c r="AN716" s="2"/>
      <c r="AO716" s="2"/>
    </row>
    <row r="717" spans="1:41" ht="13.5">
      <c r="A717" s="2"/>
      <c r="B717" s="2"/>
      <c r="C717" s="2"/>
      <c r="D717" s="2"/>
      <c r="E717" s="2"/>
      <c r="F717" s="2"/>
      <c r="G717" s="2"/>
      <c r="H717" s="40"/>
      <c r="I717" s="2"/>
      <c r="J717" s="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2"/>
      <c r="AJ717" s="2"/>
      <c r="AK717" s="2"/>
      <c r="AL717" s="2"/>
      <c r="AM717" s="2"/>
      <c r="AN717" s="2"/>
      <c r="AO717" s="2"/>
    </row>
    <row r="718" spans="1:41" ht="13.5">
      <c r="A718" s="2"/>
      <c r="B718" s="2"/>
      <c r="C718" s="2"/>
      <c r="D718" s="2"/>
      <c r="E718" s="2"/>
      <c r="F718" s="2"/>
      <c r="G718" s="2"/>
      <c r="H718" s="40"/>
      <c r="I718" s="2"/>
      <c r="J718" s="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2"/>
      <c r="AJ718" s="2"/>
      <c r="AK718" s="2"/>
      <c r="AL718" s="2"/>
      <c r="AM718" s="2"/>
      <c r="AN718" s="2"/>
      <c r="AO718" s="2"/>
    </row>
    <row r="719" spans="1:41" ht="13.5">
      <c r="A719" s="2"/>
      <c r="B719" s="2"/>
      <c r="C719" s="2"/>
      <c r="D719" s="2"/>
      <c r="E719" s="2"/>
      <c r="F719" s="2"/>
      <c r="G719" s="2"/>
      <c r="H719" s="40"/>
      <c r="I719" s="2"/>
      <c r="J719" s="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2"/>
      <c r="AJ719" s="2"/>
      <c r="AK719" s="2"/>
      <c r="AL719" s="2"/>
      <c r="AM719" s="2"/>
      <c r="AN719" s="2"/>
      <c r="AO719" s="2"/>
    </row>
    <row r="720" spans="1:41" ht="13.5">
      <c r="A720" s="2"/>
      <c r="B720" s="2"/>
      <c r="C720" s="2"/>
      <c r="D720" s="2"/>
      <c r="E720" s="2"/>
      <c r="F720" s="2"/>
      <c r="G720" s="2"/>
      <c r="H720" s="40"/>
      <c r="I720" s="2"/>
      <c r="J720" s="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2"/>
      <c r="AJ720" s="2"/>
      <c r="AK720" s="2"/>
      <c r="AL720" s="2"/>
      <c r="AM720" s="2"/>
      <c r="AN720" s="2"/>
      <c r="AO720" s="2"/>
    </row>
    <row r="721" spans="1:41" ht="13.5">
      <c r="A721" s="2"/>
      <c r="B721" s="2"/>
      <c r="C721" s="2"/>
      <c r="D721" s="2"/>
      <c r="E721" s="2"/>
      <c r="F721" s="2"/>
      <c r="G721" s="2"/>
      <c r="H721" s="40"/>
      <c r="I721" s="2"/>
      <c r="J721" s="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2"/>
      <c r="AJ721" s="2"/>
      <c r="AK721" s="2"/>
      <c r="AL721" s="2"/>
      <c r="AM721" s="2"/>
      <c r="AN721" s="2"/>
      <c r="AO721" s="2"/>
    </row>
    <row r="722" spans="1:41" ht="13.5">
      <c r="A722" s="2"/>
      <c r="B722" s="2"/>
      <c r="C722" s="2"/>
      <c r="D722" s="2"/>
      <c r="E722" s="2"/>
      <c r="F722" s="2"/>
      <c r="G722" s="2"/>
      <c r="H722" s="40"/>
      <c r="I722" s="2"/>
      <c r="J722" s="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2"/>
      <c r="AJ722" s="2"/>
      <c r="AK722" s="2"/>
      <c r="AL722" s="2"/>
      <c r="AM722" s="2"/>
      <c r="AN722" s="2"/>
      <c r="AO722" s="2"/>
    </row>
    <row r="723" spans="1:41" ht="13.5">
      <c r="A723" s="2"/>
      <c r="B723" s="2"/>
      <c r="C723" s="2"/>
      <c r="D723" s="2"/>
      <c r="E723" s="2"/>
      <c r="F723" s="2"/>
      <c r="G723" s="2"/>
      <c r="H723" s="40"/>
      <c r="I723" s="2"/>
      <c r="J723" s="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2"/>
      <c r="AJ723" s="2"/>
      <c r="AK723" s="2"/>
      <c r="AL723" s="2"/>
      <c r="AM723" s="2"/>
      <c r="AN723" s="2"/>
      <c r="AO723" s="2"/>
    </row>
    <row r="724" spans="1:41" ht="13.5">
      <c r="A724" s="2"/>
      <c r="B724" s="2"/>
      <c r="C724" s="2"/>
      <c r="D724" s="2"/>
      <c r="E724" s="2"/>
      <c r="F724" s="2"/>
      <c r="G724" s="2"/>
      <c r="H724" s="40"/>
      <c r="I724" s="2"/>
      <c r="J724" s="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2"/>
      <c r="AJ724" s="2"/>
      <c r="AK724" s="2"/>
      <c r="AL724" s="2"/>
      <c r="AM724" s="2"/>
      <c r="AN724" s="2"/>
      <c r="AO724" s="2"/>
    </row>
    <row r="725" spans="1:41" ht="13.5">
      <c r="A725" s="2"/>
      <c r="B725" s="2"/>
      <c r="C725" s="2"/>
      <c r="D725" s="2"/>
      <c r="E725" s="2"/>
      <c r="F725" s="2"/>
      <c r="G725" s="2"/>
      <c r="H725" s="40"/>
      <c r="I725" s="2"/>
      <c r="J725" s="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2"/>
      <c r="AJ725" s="2"/>
      <c r="AK725" s="2"/>
      <c r="AL725" s="2"/>
      <c r="AM725" s="2"/>
      <c r="AN725" s="2"/>
      <c r="AO725" s="2"/>
    </row>
    <row r="726" spans="1:41" ht="13.5">
      <c r="A726" s="2"/>
      <c r="B726" s="2"/>
      <c r="C726" s="2"/>
      <c r="D726" s="2"/>
      <c r="E726" s="2"/>
      <c r="F726" s="2"/>
      <c r="G726" s="2"/>
      <c r="H726" s="40"/>
      <c r="I726" s="2"/>
      <c r="J726" s="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2"/>
      <c r="AJ726" s="2"/>
      <c r="AK726" s="2"/>
      <c r="AL726" s="2"/>
      <c r="AM726" s="2"/>
      <c r="AN726" s="2"/>
      <c r="AO726" s="2"/>
    </row>
    <row r="727" spans="1:41" ht="13.5">
      <c r="A727" s="2"/>
      <c r="B727" s="2"/>
      <c r="C727" s="2"/>
      <c r="D727" s="2"/>
      <c r="E727" s="2"/>
      <c r="F727" s="2"/>
      <c r="G727" s="2"/>
      <c r="H727" s="40"/>
      <c r="I727" s="2"/>
      <c r="J727" s="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2"/>
      <c r="AJ727" s="2"/>
      <c r="AK727" s="2"/>
      <c r="AL727" s="2"/>
      <c r="AM727" s="2"/>
      <c r="AN727" s="2"/>
      <c r="AO727" s="2"/>
    </row>
    <row r="728" spans="1:41" ht="13.5">
      <c r="A728" s="2"/>
      <c r="B728" s="2"/>
      <c r="C728" s="2"/>
      <c r="D728" s="2"/>
      <c r="E728" s="2"/>
      <c r="F728" s="2"/>
      <c r="G728" s="2"/>
      <c r="H728" s="40"/>
      <c r="I728" s="2"/>
      <c r="J728" s="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2"/>
      <c r="AJ728" s="2"/>
      <c r="AK728" s="2"/>
      <c r="AL728" s="2"/>
      <c r="AM728" s="2"/>
      <c r="AN728" s="2"/>
      <c r="AO728" s="2"/>
    </row>
    <row r="729" spans="1:41" ht="13.5">
      <c r="A729" s="2"/>
      <c r="B729" s="2"/>
      <c r="C729" s="2"/>
      <c r="D729" s="2"/>
      <c r="E729" s="2"/>
      <c r="F729" s="2"/>
      <c r="G729" s="2"/>
      <c r="H729" s="40"/>
      <c r="I729" s="2"/>
      <c r="J729" s="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2"/>
      <c r="AJ729" s="2"/>
      <c r="AK729" s="2"/>
      <c r="AL729" s="2"/>
      <c r="AM729" s="2"/>
      <c r="AN729" s="2"/>
      <c r="AO729" s="2"/>
    </row>
    <row r="730" spans="1:41" ht="13.5">
      <c r="A730" s="2"/>
      <c r="B730" s="2"/>
      <c r="C730" s="2"/>
      <c r="D730" s="2"/>
      <c r="E730" s="2"/>
      <c r="F730" s="2"/>
      <c r="G730" s="2"/>
      <c r="H730" s="40"/>
      <c r="I730" s="2"/>
      <c r="J730" s="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2"/>
      <c r="AJ730" s="2"/>
      <c r="AK730" s="2"/>
      <c r="AL730" s="2"/>
      <c r="AM730" s="2"/>
      <c r="AN730" s="2"/>
      <c r="AO730" s="2"/>
    </row>
    <row r="731" spans="1:41" ht="13.5">
      <c r="A731" s="2"/>
      <c r="B731" s="2"/>
      <c r="C731" s="2"/>
      <c r="D731" s="2"/>
      <c r="E731" s="2"/>
      <c r="F731" s="2"/>
      <c r="G731" s="2"/>
      <c r="H731" s="40"/>
      <c r="I731" s="2"/>
      <c r="J731" s="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2"/>
      <c r="AJ731" s="2"/>
      <c r="AK731" s="2"/>
      <c r="AL731" s="2"/>
      <c r="AM731" s="2"/>
      <c r="AN731" s="2"/>
      <c r="AO731" s="2"/>
    </row>
    <row r="732" spans="1:41" ht="13.5">
      <c r="A732" s="2"/>
      <c r="B732" s="2"/>
      <c r="C732" s="2"/>
      <c r="D732" s="2"/>
      <c r="E732" s="2"/>
      <c r="F732" s="2"/>
      <c r="G732" s="2"/>
      <c r="H732" s="40"/>
      <c r="I732" s="2"/>
      <c r="J732" s="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2"/>
      <c r="AJ732" s="2"/>
      <c r="AK732" s="2"/>
      <c r="AL732" s="2"/>
      <c r="AM732" s="2"/>
      <c r="AN732" s="2"/>
      <c r="AO732" s="2"/>
    </row>
    <row r="733" spans="1:41" ht="13.5">
      <c r="A733" s="2"/>
      <c r="B733" s="2"/>
      <c r="C733" s="2"/>
      <c r="D733" s="2"/>
      <c r="E733" s="2"/>
      <c r="F733" s="2"/>
      <c r="G733" s="2"/>
      <c r="H733" s="40"/>
      <c r="I733" s="2"/>
      <c r="J733" s="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2"/>
      <c r="AJ733" s="2"/>
      <c r="AK733" s="2"/>
      <c r="AL733" s="2"/>
      <c r="AM733" s="2"/>
      <c r="AN733" s="2"/>
      <c r="AO733" s="2"/>
    </row>
    <row r="734" spans="1:41" ht="13.5">
      <c r="A734" s="2"/>
      <c r="B734" s="2"/>
      <c r="C734" s="2"/>
      <c r="D734" s="2"/>
      <c r="E734" s="2"/>
      <c r="F734" s="2"/>
      <c r="G734" s="2"/>
      <c r="H734" s="40"/>
      <c r="I734" s="2"/>
      <c r="J734" s="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2"/>
      <c r="AJ734" s="2"/>
      <c r="AK734" s="2"/>
      <c r="AL734" s="2"/>
      <c r="AM734" s="2"/>
      <c r="AN734" s="2"/>
      <c r="AO734" s="2"/>
    </row>
    <row r="735" spans="1:41" ht="13.5">
      <c r="A735" s="2"/>
      <c r="B735" s="2"/>
      <c r="C735" s="2"/>
      <c r="D735" s="2"/>
      <c r="E735" s="2"/>
      <c r="F735" s="2"/>
      <c r="G735" s="2"/>
      <c r="H735" s="40"/>
      <c r="I735" s="2"/>
      <c r="J735" s="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2"/>
      <c r="AJ735" s="2"/>
      <c r="AK735" s="2"/>
      <c r="AL735" s="2"/>
      <c r="AM735" s="2"/>
      <c r="AN735" s="2"/>
      <c r="AO735" s="2"/>
    </row>
    <row r="736" spans="1:41" ht="13.5">
      <c r="A736" s="2"/>
      <c r="B736" s="2"/>
      <c r="C736" s="2"/>
      <c r="D736" s="2"/>
      <c r="E736" s="2"/>
      <c r="F736" s="2"/>
      <c r="G736" s="2"/>
      <c r="H736" s="40"/>
      <c r="I736" s="2"/>
      <c r="J736" s="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2"/>
      <c r="AJ736" s="2"/>
      <c r="AK736" s="2"/>
      <c r="AL736" s="2"/>
      <c r="AM736" s="2"/>
      <c r="AN736" s="2"/>
      <c r="AO736" s="2"/>
    </row>
    <row r="737" spans="1:41" ht="13.5">
      <c r="A737" s="2"/>
      <c r="B737" s="2"/>
      <c r="C737" s="2"/>
      <c r="D737" s="2"/>
      <c r="E737" s="2"/>
      <c r="F737" s="2"/>
      <c r="G737" s="2"/>
      <c r="H737" s="40"/>
      <c r="I737" s="2"/>
      <c r="J737" s="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2"/>
      <c r="AJ737" s="2"/>
      <c r="AK737" s="2"/>
      <c r="AL737" s="2"/>
      <c r="AM737" s="2"/>
      <c r="AN737" s="2"/>
      <c r="AO737" s="2"/>
    </row>
    <row r="738" spans="1:41" ht="13.5">
      <c r="A738" s="2"/>
      <c r="B738" s="2"/>
      <c r="C738" s="2"/>
      <c r="D738" s="2"/>
      <c r="E738" s="2"/>
      <c r="F738" s="2"/>
      <c r="G738" s="2"/>
      <c r="H738" s="40"/>
      <c r="I738" s="2"/>
      <c r="J738" s="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2"/>
      <c r="AJ738" s="2"/>
      <c r="AK738" s="2"/>
      <c r="AL738" s="2"/>
      <c r="AM738" s="2"/>
      <c r="AN738" s="2"/>
      <c r="AO738" s="2"/>
    </row>
    <row r="739" spans="1:41" ht="13.5">
      <c r="A739" s="2"/>
      <c r="B739" s="2"/>
      <c r="C739" s="2"/>
      <c r="D739" s="2"/>
      <c r="E739" s="2"/>
      <c r="F739" s="2"/>
      <c r="G739" s="2"/>
      <c r="H739" s="40"/>
      <c r="I739" s="2"/>
      <c r="J739" s="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2"/>
      <c r="AJ739" s="2"/>
      <c r="AK739" s="2"/>
      <c r="AL739" s="2"/>
      <c r="AM739" s="2"/>
      <c r="AN739" s="2"/>
      <c r="AO739" s="2"/>
    </row>
    <row r="740" spans="1:41" ht="13.5">
      <c r="A740" s="2"/>
      <c r="B740" s="2"/>
      <c r="C740" s="2"/>
      <c r="D740" s="2"/>
      <c r="E740" s="2"/>
      <c r="F740" s="2"/>
      <c r="G740" s="2"/>
      <c r="H740" s="40"/>
      <c r="I740" s="2"/>
      <c r="J740" s="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2"/>
      <c r="AJ740" s="2"/>
      <c r="AK740" s="2"/>
      <c r="AL740" s="2"/>
      <c r="AM740" s="2"/>
      <c r="AN740" s="2"/>
      <c r="AO740" s="2"/>
    </row>
    <row r="741" spans="1:41" ht="13.5">
      <c r="A741" s="2"/>
      <c r="B741" s="2"/>
      <c r="C741" s="2"/>
      <c r="D741" s="2"/>
      <c r="E741" s="2"/>
      <c r="F741" s="2"/>
      <c r="G741" s="2"/>
      <c r="H741" s="40"/>
      <c r="I741" s="2"/>
      <c r="J741" s="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2"/>
      <c r="AJ741" s="2"/>
      <c r="AK741" s="2"/>
      <c r="AL741" s="2"/>
      <c r="AM741" s="2"/>
      <c r="AN741" s="2"/>
      <c r="AO741" s="2"/>
    </row>
    <row r="742" spans="1:41" ht="13.5">
      <c r="A742" s="2"/>
      <c r="B742" s="2"/>
      <c r="C742" s="2"/>
      <c r="D742" s="2"/>
      <c r="E742" s="2"/>
      <c r="F742" s="2"/>
      <c r="G742" s="2"/>
      <c r="H742" s="40"/>
      <c r="I742" s="2"/>
      <c r="J742" s="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2"/>
      <c r="AJ742" s="2"/>
      <c r="AK742" s="2"/>
      <c r="AL742" s="2"/>
      <c r="AM742" s="2"/>
      <c r="AN742" s="2"/>
      <c r="AO742" s="2"/>
    </row>
    <row r="743" spans="1:41" ht="13.5">
      <c r="A743" s="2"/>
      <c r="B743" s="2"/>
      <c r="C743" s="2"/>
      <c r="D743" s="2"/>
      <c r="E743" s="2"/>
      <c r="F743" s="2"/>
      <c r="G743" s="2"/>
      <c r="H743" s="40"/>
      <c r="I743" s="2"/>
      <c r="J743" s="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2"/>
      <c r="AJ743" s="2"/>
      <c r="AK743" s="2"/>
      <c r="AL743" s="2"/>
      <c r="AM743" s="2"/>
      <c r="AN743" s="2"/>
      <c r="AO743" s="2"/>
    </row>
    <row r="744" spans="1:41" ht="13.5">
      <c r="A744" s="2"/>
      <c r="B744" s="2"/>
      <c r="C744" s="2"/>
      <c r="D744" s="2"/>
      <c r="E744" s="2"/>
      <c r="F744" s="2"/>
      <c r="G744" s="2"/>
      <c r="H744" s="40"/>
      <c r="I744" s="2"/>
      <c r="J744" s="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2"/>
      <c r="AJ744" s="2"/>
      <c r="AK744" s="2"/>
      <c r="AL744" s="2"/>
      <c r="AM744" s="2"/>
      <c r="AN744" s="2"/>
      <c r="AO744" s="2"/>
    </row>
    <row r="745" spans="1:41" ht="13.5">
      <c r="A745" s="2"/>
      <c r="B745" s="2"/>
      <c r="C745" s="2"/>
      <c r="D745" s="2"/>
      <c r="E745" s="2"/>
      <c r="F745" s="2"/>
      <c r="G745" s="2"/>
      <c r="H745" s="40"/>
      <c r="I745" s="2"/>
      <c r="J745" s="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2"/>
      <c r="AJ745" s="2"/>
      <c r="AK745" s="2"/>
      <c r="AL745" s="2"/>
      <c r="AM745" s="2"/>
      <c r="AN745" s="2"/>
      <c r="AO745" s="2"/>
    </row>
    <row r="746" spans="1:41" ht="13.5">
      <c r="A746" s="2"/>
      <c r="B746" s="2"/>
      <c r="C746" s="2"/>
      <c r="D746" s="2"/>
      <c r="E746" s="2"/>
      <c r="F746" s="2"/>
      <c r="G746" s="2"/>
      <c r="H746" s="40"/>
      <c r="I746" s="2"/>
      <c r="J746" s="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2"/>
      <c r="AJ746" s="2"/>
      <c r="AK746" s="2"/>
      <c r="AL746" s="2"/>
      <c r="AM746" s="2"/>
      <c r="AN746" s="2"/>
      <c r="AO746" s="2"/>
    </row>
    <row r="747" spans="1:41" ht="13.5">
      <c r="A747" s="2"/>
      <c r="B747" s="2"/>
      <c r="C747" s="2"/>
      <c r="D747" s="2"/>
      <c r="E747" s="2"/>
      <c r="F747" s="2"/>
      <c r="G747" s="2"/>
      <c r="H747" s="40"/>
      <c r="I747" s="2"/>
      <c r="J747" s="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2"/>
      <c r="AJ747" s="2"/>
      <c r="AK747" s="2"/>
      <c r="AL747" s="2"/>
      <c r="AM747" s="2"/>
      <c r="AN747" s="2"/>
      <c r="AO747" s="2"/>
    </row>
    <row r="748" spans="1:41" ht="13.5">
      <c r="A748" s="2"/>
      <c r="B748" s="2"/>
      <c r="C748" s="2"/>
      <c r="D748" s="2"/>
      <c r="E748" s="2"/>
      <c r="F748" s="2"/>
      <c r="G748" s="2"/>
      <c r="H748" s="40"/>
      <c r="I748" s="2"/>
      <c r="J748" s="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2"/>
      <c r="AJ748" s="2"/>
      <c r="AK748" s="2"/>
      <c r="AL748" s="2"/>
      <c r="AM748" s="2"/>
      <c r="AN748" s="2"/>
      <c r="AO748" s="2"/>
    </row>
    <row r="749" spans="1:41" ht="13.5">
      <c r="A749" s="2"/>
      <c r="B749" s="2"/>
      <c r="C749" s="2"/>
      <c r="D749" s="2"/>
      <c r="E749" s="2"/>
      <c r="F749" s="2"/>
      <c r="G749" s="2"/>
      <c r="H749" s="40"/>
      <c r="I749" s="2"/>
      <c r="J749" s="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2"/>
      <c r="AJ749" s="2"/>
      <c r="AK749" s="2"/>
      <c r="AL749" s="2"/>
      <c r="AM749" s="2"/>
      <c r="AN749" s="2"/>
      <c r="AO749" s="2"/>
    </row>
    <row r="750" spans="1:41" ht="13.5">
      <c r="A750" s="2"/>
      <c r="B750" s="2"/>
      <c r="C750" s="2"/>
      <c r="D750" s="2"/>
      <c r="E750" s="2"/>
      <c r="F750" s="2"/>
      <c r="G750" s="2"/>
      <c r="H750" s="40"/>
      <c r="I750" s="2"/>
      <c r="J750" s="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2"/>
      <c r="AJ750" s="2"/>
      <c r="AK750" s="2"/>
      <c r="AL750" s="2"/>
      <c r="AM750" s="2"/>
      <c r="AN750" s="2"/>
      <c r="AO750" s="2"/>
    </row>
    <row r="751" spans="1:41" ht="13.5">
      <c r="A751" s="2"/>
      <c r="B751" s="2"/>
      <c r="C751" s="2"/>
      <c r="D751" s="2"/>
      <c r="E751" s="2"/>
      <c r="F751" s="2"/>
      <c r="G751" s="2"/>
      <c r="H751" s="40"/>
      <c r="I751" s="2"/>
      <c r="J751" s="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2"/>
      <c r="AJ751" s="2"/>
      <c r="AK751" s="2"/>
      <c r="AL751" s="2"/>
      <c r="AM751" s="2"/>
      <c r="AN751" s="2"/>
      <c r="AO751" s="2"/>
    </row>
    <row r="752" spans="1:41" ht="13.5">
      <c r="A752" s="2"/>
      <c r="B752" s="2"/>
      <c r="C752" s="2"/>
      <c r="D752" s="2"/>
      <c r="E752" s="2"/>
      <c r="F752" s="2"/>
      <c r="G752" s="2"/>
      <c r="H752" s="40"/>
      <c r="I752" s="2"/>
      <c r="J752" s="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2"/>
      <c r="AJ752" s="2"/>
      <c r="AK752" s="2"/>
      <c r="AL752" s="2"/>
      <c r="AM752" s="2"/>
      <c r="AN752" s="2"/>
      <c r="AO752" s="2"/>
    </row>
    <row r="753" spans="1:41" ht="13.5">
      <c r="A753" s="2"/>
      <c r="B753" s="2"/>
      <c r="C753" s="2"/>
      <c r="D753" s="2"/>
      <c r="E753" s="2"/>
      <c r="F753" s="2"/>
      <c r="G753" s="2"/>
      <c r="H753" s="40"/>
      <c r="I753" s="2"/>
      <c r="J753" s="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2"/>
      <c r="AJ753" s="2"/>
      <c r="AK753" s="2"/>
      <c r="AL753" s="2"/>
      <c r="AM753" s="2"/>
      <c r="AN753" s="2"/>
      <c r="AO753" s="2"/>
    </row>
    <row r="754" spans="1:41" ht="13.5">
      <c r="A754" s="2"/>
      <c r="B754" s="2"/>
      <c r="C754" s="2"/>
      <c r="D754" s="2"/>
      <c r="E754" s="2"/>
      <c r="F754" s="2"/>
      <c r="G754" s="2"/>
      <c r="H754" s="40"/>
      <c r="I754" s="2"/>
      <c r="J754" s="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2"/>
      <c r="AJ754" s="2"/>
      <c r="AK754" s="2"/>
      <c r="AL754" s="2"/>
      <c r="AM754" s="2"/>
      <c r="AN754" s="2"/>
      <c r="AO754" s="2"/>
    </row>
    <row r="755" spans="1:41" ht="13.5">
      <c r="A755" s="2"/>
      <c r="B755" s="2"/>
      <c r="C755" s="2"/>
      <c r="D755" s="2"/>
      <c r="E755" s="2"/>
      <c r="F755" s="2"/>
      <c r="G755" s="2"/>
      <c r="H755" s="40"/>
      <c r="I755" s="2"/>
      <c r="J755" s="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2"/>
      <c r="AJ755" s="2"/>
      <c r="AK755" s="2"/>
      <c r="AL755" s="2"/>
      <c r="AM755" s="2"/>
      <c r="AN755" s="2"/>
      <c r="AO755" s="2"/>
    </row>
    <row r="756" spans="1:41" ht="13.5">
      <c r="A756" s="2"/>
      <c r="B756" s="2"/>
      <c r="C756" s="2"/>
      <c r="D756" s="2"/>
      <c r="E756" s="2"/>
      <c r="F756" s="2"/>
      <c r="G756" s="2"/>
      <c r="H756" s="40"/>
      <c r="I756" s="2"/>
      <c r="J756" s="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2"/>
      <c r="AJ756" s="2"/>
      <c r="AK756" s="2"/>
      <c r="AL756" s="2"/>
      <c r="AM756" s="2"/>
      <c r="AN756" s="2"/>
      <c r="AO756" s="2"/>
    </row>
    <row r="757" spans="1:41" ht="13.5">
      <c r="A757" s="2"/>
      <c r="B757" s="2"/>
      <c r="C757" s="2"/>
      <c r="D757" s="2"/>
      <c r="E757" s="2"/>
      <c r="F757" s="2"/>
      <c r="G757" s="2"/>
      <c r="H757" s="40"/>
      <c r="I757" s="2"/>
      <c r="J757" s="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2"/>
      <c r="AJ757" s="2"/>
      <c r="AK757" s="2"/>
      <c r="AL757" s="2"/>
      <c r="AM757" s="2"/>
      <c r="AN757" s="2"/>
      <c r="AO757" s="2"/>
    </row>
    <row r="758" spans="1:41" ht="13.5">
      <c r="A758" s="2"/>
      <c r="B758" s="2"/>
      <c r="C758" s="2"/>
      <c r="D758" s="2"/>
      <c r="E758" s="2"/>
      <c r="F758" s="2"/>
      <c r="G758" s="2"/>
      <c r="H758" s="40"/>
      <c r="I758" s="2"/>
      <c r="J758" s="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2"/>
      <c r="AJ758" s="2"/>
      <c r="AK758" s="2"/>
      <c r="AL758" s="2"/>
      <c r="AM758" s="2"/>
      <c r="AN758" s="2"/>
      <c r="AO758" s="2"/>
    </row>
    <row r="759" spans="1:41" ht="13.5">
      <c r="A759" s="2"/>
      <c r="B759" s="2"/>
      <c r="C759" s="2"/>
      <c r="D759" s="2"/>
      <c r="E759" s="2"/>
      <c r="F759" s="2"/>
      <c r="G759" s="2"/>
      <c r="H759" s="40"/>
      <c r="I759" s="2"/>
      <c r="J759" s="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2"/>
      <c r="AJ759" s="2"/>
      <c r="AK759" s="2"/>
      <c r="AL759" s="2"/>
      <c r="AM759" s="2"/>
      <c r="AN759" s="2"/>
      <c r="AO759" s="2"/>
    </row>
    <row r="760" spans="1:41" ht="13.5">
      <c r="A760" s="2"/>
      <c r="B760" s="2"/>
      <c r="C760" s="2"/>
      <c r="D760" s="2"/>
      <c r="E760" s="2"/>
      <c r="F760" s="2"/>
      <c r="G760" s="2"/>
      <c r="H760" s="40"/>
      <c r="I760" s="2"/>
      <c r="J760" s="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2"/>
      <c r="AJ760" s="2"/>
      <c r="AK760" s="2"/>
      <c r="AL760" s="2"/>
      <c r="AM760" s="2"/>
      <c r="AN760" s="2"/>
      <c r="AO760" s="2"/>
    </row>
    <row r="761" spans="1:41" ht="13.5">
      <c r="A761" s="2"/>
      <c r="B761" s="2"/>
      <c r="C761" s="2"/>
      <c r="D761" s="2"/>
      <c r="E761" s="2"/>
      <c r="F761" s="2"/>
      <c r="G761" s="2"/>
      <c r="H761" s="40"/>
      <c r="I761" s="2"/>
      <c r="J761" s="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2"/>
      <c r="AJ761" s="2"/>
      <c r="AK761" s="2"/>
      <c r="AL761" s="2"/>
      <c r="AM761" s="2"/>
      <c r="AN761" s="2"/>
      <c r="AO761" s="2"/>
    </row>
    <row r="762" spans="1:41" ht="13.5">
      <c r="A762" s="2"/>
      <c r="B762" s="2"/>
      <c r="C762" s="2"/>
      <c r="D762" s="2"/>
      <c r="E762" s="2"/>
      <c r="F762" s="2"/>
      <c r="G762" s="2"/>
      <c r="H762" s="40"/>
      <c r="I762" s="2"/>
      <c r="J762" s="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2"/>
      <c r="AJ762" s="2"/>
      <c r="AK762" s="2"/>
      <c r="AL762" s="2"/>
      <c r="AM762" s="2"/>
      <c r="AN762" s="2"/>
      <c r="AO762" s="2"/>
    </row>
    <row r="763" spans="1:41" ht="13.5">
      <c r="A763" s="2"/>
      <c r="B763" s="2"/>
      <c r="C763" s="2"/>
      <c r="D763" s="2"/>
      <c r="E763" s="2"/>
      <c r="F763" s="2"/>
      <c r="G763" s="2"/>
      <c r="H763" s="40"/>
      <c r="I763" s="2"/>
      <c r="J763" s="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2"/>
      <c r="AJ763" s="2"/>
      <c r="AK763" s="2"/>
      <c r="AL763" s="2"/>
      <c r="AM763" s="2"/>
      <c r="AN763" s="2"/>
      <c r="AO763" s="2"/>
    </row>
    <row r="764" spans="1:41" ht="13.5">
      <c r="A764" s="2"/>
      <c r="B764" s="2"/>
      <c r="C764" s="2"/>
      <c r="D764" s="2"/>
      <c r="E764" s="2"/>
      <c r="F764" s="2"/>
      <c r="G764" s="2"/>
      <c r="H764" s="40"/>
      <c r="I764" s="2"/>
      <c r="J764" s="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2"/>
      <c r="AJ764" s="2"/>
      <c r="AK764" s="2"/>
      <c r="AL764" s="2"/>
      <c r="AM764" s="2"/>
      <c r="AN764" s="2"/>
      <c r="AO764" s="2"/>
    </row>
    <row r="765" spans="1:41" ht="13.5">
      <c r="A765" s="2"/>
      <c r="B765" s="2"/>
      <c r="C765" s="2"/>
      <c r="D765" s="2"/>
      <c r="E765" s="2"/>
      <c r="F765" s="2"/>
      <c r="G765" s="2"/>
      <c r="H765" s="40"/>
      <c r="I765" s="2"/>
      <c r="J765" s="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2"/>
      <c r="AJ765" s="2"/>
      <c r="AK765" s="2"/>
      <c r="AL765" s="2"/>
      <c r="AM765" s="2"/>
      <c r="AN765" s="2"/>
      <c r="AO765" s="2"/>
    </row>
    <row r="766" spans="1:41" ht="13.5">
      <c r="A766" s="2"/>
      <c r="B766" s="2"/>
      <c r="C766" s="2"/>
      <c r="D766" s="2"/>
      <c r="E766" s="2"/>
      <c r="F766" s="2"/>
      <c r="G766" s="2"/>
      <c r="H766" s="40"/>
      <c r="I766" s="2"/>
      <c r="J766" s="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2"/>
      <c r="AJ766" s="2"/>
      <c r="AK766" s="2"/>
      <c r="AL766" s="2"/>
      <c r="AM766" s="2"/>
      <c r="AN766" s="2"/>
      <c r="AO766" s="2"/>
    </row>
    <row r="767" spans="1:41" ht="13.5">
      <c r="A767" s="2"/>
      <c r="B767" s="2"/>
      <c r="C767" s="2"/>
      <c r="D767" s="2"/>
      <c r="E767" s="2"/>
      <c r="F767" s="2"/>
      <c r="G767" s="2"/>
      <c r="H767" s="40"/>
      <c r="I767" s="2"/>
      <c r="J767" s="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2"/>
      <c r="AJ767" s="2"/>
      <c r="AK767" s="2"/>
      <c r="AL767" s="2"/>
      <c r="AM767" s="2"/>
      <c r="AN767" s="2"/>
      <c r="AO767" s="2"/>
    </row>
    <row r="768" spans="1:41" ht="13.5">
      <c r="A768" s="2"/>
      <c r="B768" s="2"/>
      <c r="C768" s="2"/>
      <c r="D768" s="2"/>
      <c r="E768" s="2"/>
      <c r="F768" s="2"/>
      <c r="G768" s="2"/>
      <c r="H768" s="40"/>
      <c r="I768" s="2"/>
      <c r="J768" s="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2"/>
      <c r="AJ768" s="2"/>
      <c r="AK768" s="2"/>
      <c r="AL768" s="2"/>
      <c r="AM768" s="2"/>
      <c r="AN768" s="2"/>
      <c r="AO768" s="2"/>
    </row>
    <row r="769" spans="1:41" ht="13.5">
      <c r="A769" s="2"/>
      <c r="B769" s="2"/>
      <c r="C769" s="2"/>
      <c r="D769" s="2"/>
      <c r="E769" s="2"/>
      <c r="F769" s="2"/>
      <c r="G769" s="2"/>
      <c r="H769" s="40"/>
      <c r="I769" s="2"/>
      <c r="J769" s="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2"/>
      <c r="AJ769" s="2"/>
      <c r="AK769" s="2"/>
      <c r="AL769" s="2"/>
      <c r="AM769" s="2"/>
      <c r="AN769" s="2"/>
      <c r="AO769" s="2"/>
    </row>
    <row r="770" spans="1:41" ht="13.5">
      <c r="A770" s="2"/>
      <c r="B770" s="2"/>
      <c r="C770" s="2"/>
      <c r="D770" s="2"/>
      <c r="E770" s="2"/>
      <c r="F770" s="2"/>
      <c r="G770" s="2"/>
      <c r="H770" s="40"/>
      <c r="I770" s="2"/>
      <c r="J770" s="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2"/>
      <c r="AJ770" s="2"/>
      <c r="AK770" s="2"/>
      <c r="AL770" s="2"/>
      <c r="AM770" s="2"/>
      <c r="AN770" s="2"/>
      <c r="AO770" s="2"/>
    </row>
    <row r="771" spans="1:41" ht="13.5">
      <c r="A771" s="2"/>
      <c r="B771" s="2"/>
      <c r="C771" s="2"/>
      <c r="D771" s="2"/>
      <c r="E771" s="2"/>
      <c r="F771" s="2"/>
      <c r="G771" s="2"/>
      <c r="H771" s="40"/>
      <c r="I771" s="2"/>
      <c r="J771" s="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2"/>
      <c r="AJ771" s="2"/>
      <c r="AK771" s="2"/>
      <c r="AL771" s="2"/>
      <c r="AM771" s="2"/>
      <c r="AN771" s="2"/>
      <c r="AO771" s="2"/>
    </row>
    <row r="772" spans="1:41" ht="13.5">
      <c r="A772" s="2"/>
      <c r="B772" s="2"/>
      <c r="C772" s="2"/>
      <c r="D772" s="2"/>
      <c r="E772" s="2"/>
      <c r="F772" s="2"/>
      <c r="G772" s="2"/>
      <c r="H772" s="40"/>
      <c r="I772" s="2"/>
      <c r="J772" s="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2"/>
      <c r="AJ772" s="2"/>
      <c r="AK772" s="2"/>
      <c r="AL772" s="2"/>
      <c r="AM772" s="2"/>
      <c r="AN772" s="2"/>
      <c r="AO772" s="2"/>
    </row>
    <row r="773" spans="1:41" ht="13.5">
      <c r="A773" s="2"/>
      <c r="B773" s="2"/>
      <c r="C773" s="2"/>
      <c r="D773" s="2"/>
      <c r="E773" s="2"/>
      <c r="F773" s="2"/>
      <c r="G773" s="2"/>
      <c r="H773" s="40"/>
      <c r="I773" s="2"/>
      <c r="J773" s="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2"/>
      <c r="AJ773" s="2"/>
      <c r="AK773" s="2"/>
      <c r="AL773" s="2"/>
      <c r="AM773" s="2"/>
      <c r="AN773" s="2"/>
      <c r="AO773" s="2"/>
    </row>
    <row r="774" spans="1:41" ht="13.5">
      <c r="A774" s="2"/>
      <c r="B774" s="2"/>
      <c r="C774" s="2"/>
      <c r="D774" s="2"/>
      <c r="E774" s="2"/>
      <c r="F774" s="2"/>
      <c r="G774" s="2"/>
      <c r="H774" s="40"/>
      <c r="I774" s="2"/>
      <c r="J774" s="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2"/>
      <c r="AJ774" s="2"/>
      <c r="AK774" s="2"/>
      <c r="AL774" s="2"/>
      <c r="AM774" s="2"/>
      <c r="AN774" s="2"/>
      <c r="AO774" s="2"/>
    </row>
    <row r="775" spans="1:41" ht="13.5">
      <c r="A775" s="2"/>
      <c r="B775" s="2"/>
      <c r="C775" s="2"/>
      <c r="D775" s="2"/>
      <c r="E775" s="2"/>
      <c r="F775" s="2"/>
      <c r="G775" s="2"/>
      <c r="H775" s="40"/>
      <c r="I775" s="2"/>
      <c r="J775" s="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2"/>
      <c r="AJ775" s="2"/>
      <c r="AK775" s="2"/>
      <c r="AL775" s="2"/>
      <c r="AM775" s="2"/>
      <c r="AN775" s="2"/>
      <c r="AO775" s="2"/>
    </row>
    <row r="776" spans="1:41" ht="13.5">
      <c r="A776" s="2"/>
      <c r="B776" s="2"/>
      <c r="C776" s="2"/>
      <c r="D776" s="2"/>
      <c r="E776" s="2"/>
      <c r="F776" s="2"/>
      <c r="G776" s="2"/>
      <c r="H776" s="40"/>
      <c r="I776" s="2"/>
      <c r="J776" s="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2"/>
      <c r="AJ776" s="2"/>
      <c r="AK776" s="2"/>
      <c r="AL776" s="2"/>
      <c r="AM776" s="2"/>
      <c r="AN776" s="2"/>
      <c r="AO776" s="2"/>
    </row>
    <row r="777" spans="1:41" ht="13.5">
      <c r="A777" s="2"/>
      <c r="B777" s="2"/>
      <c r="C777" s="2"/>
      <c r="D777" s="2"/>
      <c r="E777" s="2"/>
      <c r="F777" s="2"/>
      <c r="G777" s="2"/>
      <c r="H777" s="40"/>
      <c r="I777" s="2"/>
      <c r="J777" s="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2"/>
      <c r="AJ777" s="2"/>
      <c r="AK777" s="2"/>
      <c r="AL777" s="2"/>
      <c r="AM777" s="2"/>
      <c r="AN777" s="2"/>
      <c r="AO777" s="2"/>
    </row>
    <row r="778" spans="1:41" ht="13.5">
      <c r="A778" s="2"/>
      <c r="B778" s="2"/>
      <c r="C778" s="2"/>
      <c r="D778" s="2"/>
      <c r="E778" s="2"/>
      <c r="F778" s="2"/>
      <c r="G778" s="2"/>
      <c r="H778" s="40"/>
      <c r="I778" s="2"/>
      <c r="J778" s="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2"/>
      <c r="AJ778" s="2"/>
      <c r="AK778" s="2"/>
      <c r="AL778" s="2"/>
      <c r="AM778" s="2"/>
      <c r="AN778" s="2"/>
      <c r="AO778" s="2"/>
    </row>
    <row r="779" spans="1:41" ht="13.5">
      <c r="A779" s="2"/>
      <c r="B779" s="2"/>
      <c r="C779" s="2"/>
      <c r="D779" s="2"/>
      <c r="E779" s="2"/>
      <c r="F779" s="2"/>
      <c r="G779" s="2"/>
      <c r="H779" s="40"/>
      <c r="I779" s="2"/>
      <c r="J779" s="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2"/>
      <c r="AJ779" s="2"/>
      <c r="AK779" s="2"/>
      <c r="AL779" s="2"/>
      <c r="AM779" s="2"/>
      <c r="AN779" s="2"/>
      <c r="AO779" s="2"/>
    </row>
    <row r="780" spans="1:41" ht="13.5">
      <c r="A780" s="2"/>
      <c r="B780" s="2"/>
      <c r="C780" s="2"/>
      <c r="D780" s="2"/>
      <c r="E780" s="2"/>
      <c r="F780" s="2"/>
      <c r="G780" s="2"/>
      <c r="H780" s="40"/>
      <c r="I780" s="2"/>
      <c r="J780" s="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2"/>
      <c r="AJ780" s="2"/>
      <c r="AK780" s="2"/>
      <c r="AL780" s="2"/>
      <c r="AM780" s="2"/>
      <c r="AN780" s="2"/>
      <c r="AO780" s="2"/>
    </row>
    <row r="781" spans="1:41" ht="13.5">
      <c r="A781" s="2"/>
      <c r="B781" s="2"/>
      <c r="C781" s="2"/>
      <c r="D781" s="2"/>
      <c r="E781" s="2"/>
      <c r="F781" s="2"/>
      <c r="G781" s="2"/>
      <c r="H781" s="40"/>
      <c r="I781" s="2"/>
      <c r="J781" s="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2"/>
      <c r="AJ781" s="2"/>
      <c r="AK781" s="2"/>
      <c r="AL781" s="2"/>
      <c r="AM781" s="2"/>
      <c r="AN781" s="2"/>
      <c r="AO781" s="2"/>
    </row>
    <row r="782" spans="1:41" ht="13.5">
      <c r="A782" s="2"/>
      <c r="B782" s="2"/>
      <c r="C782" s="2"/>
      <c r="D782" s="2"/>
      <c r="E782" s="2"/>
      <c r="F782" s="2"/>
      <c r="G782" s="2"/>
      <c r="H782" s="40"/>
      <c r="I782" s="2"/>
      <c r="J782" s="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2"/>
      <c r="AJ782" s="2"/>
      <c r="AK782" s="2"/>
      <c r="AL782" s="2"/>
      <c r="AM782" s="2"/>
      <c r="AN782" s="2"/>
      <c r="AO782" s="2"/>
    </row>
    <row r="783" spans="1:41" ht="13.5">
      <c r="A783" s="2"/>
      <c r="B783" s="2"/>
      <c r="C783" s="2"/>
      <c r="D783" s="2"/>
      <c r="E783" s="2"/>
      <c r="F783" s="2"/>
      <c r="G783" s="2"/>
      <c r="H783" s="40"/>
      <c r="I783" s="2"/>
      <c r="J783" s="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2"/>
      <c r="AJ783" s="2"/>
      <c r="AK783" s="2"/>
      <c r="AL783" s="2"/>
      <c r="AM783" s="2"/>
      <c r="AN783" s="2"/>
      <c r="AO783" s="2"/>
    </row>
    <row r="784" spans="1:41" ht="13.5">
      <c r="A784" s="2"/>
      <c r="B784" s="2"/>
      <c r="C784" s="2"/>
      <c r="D784" s="2"/>
      <c r="E784" s="2"/>
      <c r="F784" s="2"/>
      <c r="G784" s="2"/>
      <c r="H784" s="40"/>
      <c r="I784" s="2"/>
      <c r="J784" s="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2"/>
      <c r="AJ784" s="2"/>
      <c r="AK784" s="2"/>
      <c r="AL784" s="2"/>
      <c r="AM784" s="2"/>
      <c r="AN784" s="2"/>
      <c r="AO784" s="2"/>
    </row>
    <row r="785" spans="1:41" ht="13.5">
      <c r="A785" s="2"/>
      <c r="B785" s="2"/>
      <c r="C785" s="2"/>
      <c r="D785" s="2"/>
      <c r="E785" s="2"/>
      <c r="F785" s="2"/>
      <c r="G785" s="2"/>
      <c r="H785" s="40"/>
      <c r="I785" s="2"/>
      <c r="J785" s="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2"/>
      <c r="AJ785" s="2"/>
      <c r="AK785" s="2"/>
      <c r="AL785" s="2"/>
      <c r="AM785" s="2"/>
      <c r="AN785" s="2"/>
      <c r="AO785" s="2"/>
    </row>
    <row r="786" spans="1:41" ht="13.5">
      <c r="A786" s="2"/>
      <c r="B786" s="2"/>
      <c r="C786" s="2"/>
      <c r="D786" s="2"/>
      <c r="E786" s="2"/>
      <c r="F786" s="2"/>
      <c r="G786" s="2"/>
      <c r="H786" s="40"/>
      <c r="I786" s="2"/>
      <c r="J786" s="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2"/>
      <c r="AJ786" s="2"/>
      <c r="AK786" s="2"/>
      <c r="AL786" s="2"/>
      <c r="AM786" s="2"/>
      <c r="AN786" s="2"/>
      <c r="AO786" s="2"/>
    </row>
    <row r="787" spans="1:41" ht="13.5">
      <c r="A787" s="2"/>
      <c r="B787" s="2"/>
      <c r="C787" s="2"/>
      <c r="D787" s="2"/>
      <c r="E787" s="2"/>
      <c r="F787" s="2"/>
      <c r="G787" s="2"/>
      <c r="H787" s="40"/>
      <c r="I787" s="2"/>
      <c r="J787" s="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2"/>
      <c r="AJ787" s="2"/>
      <c r="AK787" s="2"/>
      <c r="AL787" s="2"/>
      <c r="AM787" s="2"/>
      <c r="AN787" s="2"/>
      <c r="AO787" s="2"/>
    </row>
    <row r="788" spans="1:41" ht="13.5">
      <c r="A788" s="2"/>
      <c r="B788" s="2"/>
      <c r="C788" s="2"/>
      <c r="D788" s="2"/>
      <c r="E788" s="2"/>
      <c r="F788" s="2"/>
      <c r="G788" s="2"/>
      <c r="H788" s="40"/>
      <c r="I788" s="2"/>
      <c r="J788" s="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2"/>
      <c r="AJ788" s="2"/>
      <c r="AK788" s="2"/>
      <c r="AL788" s="2"/>
      <c r="AM788" s="2"/>
      <c r="AN788" s="2"/>
      <c r="AO788" s="2"/>
    </row>
    <row r="789" spans="1:41" ht="13.5">
      <c r="A789" s="2"/>
      <c r="B789" s="2"/>
      <c r="C789" s="2"/>
      <c r="D789" s="2"/>
      <c r="E789" s="2"/>
      <c r="F789" s="2"/>
      <c r="G789" s="2"/>
      <c r="H789" s="40"/>
      <c r="I789" s="2"/>
      <c r="J789" s="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2"/>
      <c r="AJ789" s="2"/>
      <c r="AK789" s="2"/>
      <c r="AL789" s="2"/>
      <c r="AM789" s="2"/>
      <c r="AN789" s="2"/>
      <c r="AO789" s="2"/>
    </row>
    <row r="790" spans="1:41" ht="13.5">
      <c r="A790" s="2"/>
      <c r="B790" s="2"/>
      <c r="C790" s="2"/>
      <c r="D790" s="2"/>
      <c r="E790" s="2"/>
      <c r="F790" s="2"/>
      <c r="G790" s="2"/>
      <c r="H790" s="40"/>
      <c r="I790" s="2"/>
      <c r="J790" s="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2"/>
      <c r="AJ790" s="2"/>
      <c r="AK790" s="2"/>
      <c r="AL790" s="2"/>
      <c r="AM790" s="2"/>
      <c r="AN790" s="2"/>
      <c r="AO790" s="2"/>
    </row>
    <row r="791" spans="1:41" ht="13.5">
      <c r="A791" s="2"/>
      <c r="B791" s="2"/>
      <c r="C791" s="2"/>
      <c r="D791" s="2"/>
      <c r="E791" s="2"/>
      <c r="F791" s="2"/>
      <c r="G791" s="2"/>
      <c r="H791" s="40"/>
      <c r="I791" s="2"/>
      <c r="J791" s="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2"/>
      <c r="AJ791" s="2"/>
      <c r="AK791" s="2"/>
      <c r="AL791" s="2"/>
      <c r="AM791" s="2"/>
      <c r="AN791" s="2"/>
      <c r="AO791" s="2"/>
    </row>
    <row r="792" spans="1:41" ht="13.5">
      <c r="A792" s="2"/>
      <c r="B792" s="2"/>
      <c r="C792" s="2"/>
      <c r="D792" s="2"/>
      <c r="E792" s="2"/>
      <c r="F792" s="2"/>
      <c r="G792" s="2"/>
      <c r="H792" s="40"/>
      <c r="I792" s="2"/>
      <c r="J792" s="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2"/>
      <c r="AJ792" s="2"/>
      <c r="AK792" s="2"/>
      <c r="AL792" s="2"/>
      <c r="AM792" s="2"/>
      <c r="AN792" s="2"/>
      <c r="AO792" s="2"/>
    </row>
    <row r="793" spans="1:41" ht="13.5">
      <c r="A793" s="2"/>
      <c r="B793" s="2"/>
      <c r="C793" s="2"/>
      <c r="D793" s="2"/>
      <c r="E793" s="2"/>
      <c r="F793" s="2"/>
      <c r="G793" s="2"/>
      <c r="H793" s="40"/>
      <c r="I793" s="2"/>
      <c r="J793" s="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2"/>
      <c r="AJ793" s="2"/>
      <c r="AK793" s="2"/>
      <c r="AL793" s="2"/>
      <c r="AM793" s="2"/>
      <c r="AN793" s="2"/>
      <c r="AO793" s="2"/>
    </row>
    <row r="794" spans="1:41" ht="13.5">
      <c r="A794" s="2"/>
      <c r="B794" s="2"/>
      <c r="C794" s="2"/>
      <c r="D794" s="2"/>
      <c r="E794" s="2"/>
      <c r="F794" s="2"/>
      <c r="G794" s="2"/>
      <c r="H794" s="40"/>
      <c r="I794" s="2"/>
      <c r="J794" s="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2"/>
      <c r="AJ794" s="2"/>
      <c r="AK794" s="2"/>
      <c r="AL794" s="2"/>
      <c r="AM794" s="2"/>
      <c r="AN794" s="2"/>
      <c r="AO794" s="2"/>
    </row>
    <row r="795" spans="1:41" ht="13.5">
      <c r="A795" s="2"/>
      <c r="B795" s="2"/>
      <c r="C795" s="2"/>
      <c r="D795" s="2"/>
      <c r="E795" s="2"/>
      <c r="F795" s="2"/>
      <c r="G795" s="2"/>
      <c r="H795" s="40"/>
      <c r="I795" s="2"/>
      <c r="J795" s="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2"/>
      <c r="AJ795" s="2"/>
      <c r="AK795" s="2"/>
      <c r="AL795" s="2"/>
      <c r="AM795" s="2"/>
      <c r="AN795" s="2"/>
      <c r="AO795" s="2"/>
    </row>
    <row r="796" spans="1:41" ht="13.5">
      <c r="A796" s="2"/>
      <c r="B796" s="2"/>
      <c r="C796" s="2"/>
      <c r="D796" s="2"/>
      <c r="E796" s="2"/>
      <c r="F796" s="2"/>
      <c r="G796" s="2"/>
      <c r="H796" s="40"/>
      <c r="I796" s="2"/>
      <c r="J796" s="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2"/>
      <c r="AJ796" s="2"/>
      <c r="AK796" s="2"/>
      <c r="AL796" s="2"/>
      <c r="AM796" s="2"/>
      <c r="AN796" s="2"/>
      <c r="AO796" s="2"/>
    </row>
    <row r="797" spans="1:41" ht="13.5">
      <c r="A797" s="2"/>
      <c r="B797" s="2"/>
      <c r="C797" s="2"/>
      <c r="D797" s="2"/>
      <c r="E797" s="2"/>
      <c r="F797" s="2"/>
      <c r="G797" s="2"/>
      <c r="H797" s="40"/>
      <c r="I797" s="2"/>
      <c r="J797" s="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2"/>
      <c r="AJ797" s="2"/>
      <c r="AK797" s="2"/>
      <c r="AL797" s="2"/>
      <c r="AM797" s="2"/>
      <c r="AN797" s="2"/>
      <c r="AO797" s="2"/>
    </row>
    <row r="798" spans="1:41" ht="13.5">
      <c r="A798" s="2"/>
      <c r="B798" s="2"/>
      <c r="C798" s="2"/>
      <c r="D798" s="2"/>
      <c r="E798" s="2"/>
      <c r="F798" s="2"/>
      <c r="G798" s="2"/>
      <c r="H798" s="40"/>
      <c r="I798" s="2"/>
      <c r="J798" s="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2"/>
      <c r="AJ798" s="2"/>
      <c r="AK798" s="2"/>
      <c r="AL798" s="2"/>
      <c r="AM798" s="2"/>
      <c r="AN798" s="2"/>
      <c r="AO798" s="2"/>
    </row>
    <row r="799" spans="1:41" ht="13.5">
      <c r="A799" s="2"/>
      <c r="B799" s="2"/>
      <c r="C799" s="2"/>
      <c r="D799" s="2"/>
      <c r="E799" s="2"/>
      <c r="F799" s="2"/>
      <c r="G799" s="2"/>
      <c r="H799" s="40"/>
      <c r="I799" s="2"/>
      <c r="J799" s="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2"/>
      <c r="AJ799" s="2"/>
      <c r="AK799" s="2"/>
      <c r="AL799" s="2"/>
      <c r="AM799" s="2"/>
      <c r="AN799" s="2"/>
      <c r="AO799" s="2"/>
    </row>
    <row r="800" spans="1:41" ht="13.5">
      <c r="A800" s="2"/>
      <c r="B800" s="2"/>
      <c r="C800" s="2"/>
      <c r="D800" s="2"/>
      <c r="E800" s="2"/>
      <c r="F800" s="2"/>
      <c r="G800" s="2"/>
      <c r="H800" s="40"/>
      <c r="I800" s="2"/>
      <c r="J800" s="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2"/>
      <c r="AJ800" s="2"/>
      <c r="AK800" s="2"/>
      <c r="AL800" s="2"/>
      <c r="AM800" s="2"/>
      <c r="AN800" s="2"/>
      <c r="AO800" s="2"/>
    </row>
    <row r="801" spans="1:41" ht="13.5">
      <c r="A801" s="2"/>
      <c r="B801" s="2"/>
      <c r="C801" s="2"/>
      <c r="D801" s="2"/>
      <c r="E801" s="2"/>
      <c r="F801" s="2"/>
      <c r="G801" s="2"/>
      <c r="H801" s="40"/>
      <c r="I801" s="2"/>
      <c r="J801" s="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2"/>
      <c r="AJ801" s="2"/>
      <c r="AK801" s="2"/>
      <c r="AL801" s="2"/>
      <c r="AM801" s="2"/>
      <c r="AN801" s="2"/>
      <c r="AO801" s="2"/>
    </row>
    <row r="802" spans="1:41" ht="13.5">
      <c r="A802" s="2"/>
      <c r="B802" s="2"/>
      <c r="C802" s="2"/>
      <c r="D802" s="2"/>
      <c r="E802" s="2"/>
      <c r="F802" s="2"/>
      <c r="G802" s="2"/>
      <c r="H802" s="40"/>
      <c r="I802" s="2"/>
      <c r="J802" s="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2"/>
      <c r="AJ802" s="2"/>
      <c r="AK802" s="2"/>
      <c r="AL802" s="2"/>
      <c r="AM802" s="2"/>
      <c r="AN802" s="2"/>
      <c r="AO802" s="2"/>
    </row>
    <row r="803" spans="1:41" ht="13.5">
      <c r="A803" s="2"/>
      <c r="B803" s="2"/>
      <c r="C803" s="2"/>
      <c r="D803" s="2"/>
      <c r="E803" s="2"/>
      <c r="F803" s="2"/>
      <c r="G803" s="2"/>
      <c r="H803" s="40"/>
      <c r="I803" s="2"/>
      <c r="J803" s="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2"/>
      <c r="AJ803" s="2"/>
      <c r="AK803" s="2"/>
      <c r="AL803" s="2"/>
      <c r="AM803" s="2"/>
      <c r="AN803" s="2"/>
      <c r="AO803" s="2"/>
    </row>
    <row r="804" spans="1:41" ht="13.5">
      <c r="A804" s="2"/>
      <c r="B804" s="2"/>
      <c r="C804" s="2"/>
      <c r="D804" s="2"/>
      <c r="E804" s="2"/>
      <c r="F804" s="2"/>
      <c r="G804" s="2"/>
      <c r="H804" s="40"/>
      <c r="I804" s="2"/>
      <c r="J804" s="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2"/>
      <c r="AJ804" s="2"/>
      <c r="AK804" s="2"/>
      <c r="AL804" s="2"/>
      <c r="AM804" s="2"/>
      <c r="AN804" s="2"/>
      <c r="AO804" s="2"/>
    </row>
    <row r="805" spans="1:41" ht="13.5">
      <c r="A805" s="2"/>
      <c r="B805" s="2"/>
      <c r="C805" s="2"/>
      <c r="D805" s="2"/>
      <c r="E805" s="2"/>
      <c r="F805" s="2"/>
      <c r="G805" s="2"/>
      <c r="H805" s="40"/>
      <c r="I805" s="2"/>
      <c r="J805" s="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2"/>
      <c r="AJ805" s="2"/>
      <c r="AK805" s="2"/>
      <c r="AL805" s="2"/>
      <c r="AM805" s="2"/>
      <c r="AN805" s="2"/>
      <c r="AO805" s="2"/>
    </row>
    <row r="806" spans="1:41" ht="13.5">
      <c r="A806" s="2"/>
      <c r="B806" s="2"/>
      <c r="C806" s="2"/>
      <c r="D806" s="2"/>
      <c r="E806" s="2"/>
      <c r="F806" s="2"/>
      <c r="G806" s="2"/>
      <c r="H806" s="40"/>
      <c r="I806" s="2"/>
      <c r="J806" s="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2"/>
      <c r="AJ806" s="2"/>
      <c r="AK806" s="2"/>
      <c r="AL806" s="2"/>
      <c r="AM806" s="2"/>
      <c r="AN806" s="2"/>
      <c r="AO806" s="2"/>
    </row>
    <row r="807" spans="1:41" ht="13.5">
      <c r="A807" s="2"/>
      <c r="B807" s="2"/>
      <c r="C807" s="2"/>
      <c r="D807" s="2"/>
      <c r="E807" s="2"/>
      <c r="F807" s="2"/>
      <c r="G807" s="2"/>
      <c r="H807" s="40"/>
      <c r="I807" s="2"/>
      <c r="J807" s="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2"/>
      <c r="AJ807" s="2"/>
      <c r="AK807" s="2"/>
      <c r="AL807" s="2"/>
      <c r="AM807" s="2"/>
      <c r="AN807" s="2"/>
      <c r="AO807" s="2"/>
    </row>
    <row r="808" spans="1:41" ht="13.5">
      <c r="A808" s="2"/>
      <c r="B808" s="2"/>
      <c r="C808" s="2"/>
      <c r="D808" s="2"/>
      <c r="E808" s="2"/>
      <c r="F808" s="2"/>
      <c r="G808" s="2"/>
      <c r="H808" s="40"/>
      <c r="I808" s="2"/>
      <c r="J808" s="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2"/>
      <c r="AJ808" s="2"/>
      <c r="AK808" s="2"/>
      <c r="AL808" s="2"/>
      <c r="AM808" s="2"/>
      <c r="AN808" s="2"/>
      <c r="AO808" s="2"/>
    </row>
    <row r="809" spans="1:41" ht="13.5">
      <c r="A809" s="2"/>
      <c r="B809" s="2"/>
      <c r="C809" s="2"/>
      <c r="D809" s="2"/>
      <c r="E809" s="2"/>
      <c r="F809" s="2"/>
      <c r="G809" s="2"/>
      <c r="H809" s="40"/>
      <c r="I809" s="2"/>
      <c r="J809" s="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2"/>
      <c r="AJ809" s="2"/>
      <c r="AK809" s="2"/>
      <c r="AL809" s="2"/>
      <c r="AM809" s="2"/>
      <c r="AN809" s="2"/>
      <c r="AO809" s="2"/>
    </row>
    <row r="810" spans="1:41" ht="13.5">
      <c r="A810" s="2"/>
      <c r="B810" s="2"/>
      <c r="C810" s="2"/>
      <c r="D810" s="2"/>
      <c r="E810" s="2"/>
      <c r="F810" s="2"/>
      <c r="G810" s="2"/>
      <c r="H810" s="40"/>
      <c r="I810" s="2"/>
      <c r="J810" s="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2"/>
      <c r="AJ810" s="2"/>
      <c r="AK810" s="2"/>
      <c r="AL810" s="2"/>
      <c r="AM810" s="2"/>
      <c r="AN810" s="2"/>
      <c r="AO810" s="2"/>
    </row>
    <row r="811" spans="1:41" ht="13.5">
      <c r="A811" s="2"/>
      <c r="B811" s="2"/>
      <c r="C811" s="2"/>
      <c r="D811" s="2"/>
      <c r="E811" s="2"/>
      <c r="F811" s="2"/>
      <c r="G811" s="2"/>
      <c r="H811" s="40"/>
      <c r="I811" s="2"/>
      <c r="J811" s="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2"/>
      <c r="AJ811" s="2"/>
      <c r="AK811" s="2"/>
      <c r="AL811" s="2"/>
      <c r="AM811" s="2"/>
      <c r="AN811" s="2"/>
      <c r="AO811" s="2"/>
    </row>
    <row r="812" spans="1:41" ht="13.5">
      <c r="A812" s="2"/>
      <c r="B812" s="2"/>
      <c r="C812" s="2"/>
      <c r="D812" s="2"/>
      <c r="E812" s="2"/>
      <c r="F812" s="2"/>
      <c r="G812" s="2"/>
      <c r="H812" s="40"/>
      <c r="I812" s="2"/>
      <c r="J812" s="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2"/>
      <c r="AJ812" s="2"/>
      <c r="AK812" s="2"/>
      <c r="AL812" s="2"/>
      <c r="AM812" s="2"/>
      <c r="AN812" s="2"/>
      <c r="AO812" s="2"/>
    </row>
    <row r="813" spans="1:41" ht="13.5">
      <c r="A813" s="2"/>
      <c r="B813" s="2"/>
      <c r="C813" s="2"/>
      <c r="D813" s="2"/>
      <c r="E813" s="2"/>
      <c r="F813" s="2"/>
      <c r="G813" s="2"/>
      <c r="H813" s="40"/>
      <c r="I813" s="2"/>
      <c r="J813" s="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2"/>
      <c r="AJ813" s="2"/>
      <c r="AK813" s="2"/>
      <c r="AL813" s="2"/>
      <c r="AM813" s="2"/>
      <c r="AN813" s="2"/>
      <c r="AO813" s="2"/>
    </row>
    <row r="814" spans="1:41" ht="13.5">
      <c r="A814" s="2"/>
      <c r="B814" s="2"/>
      <c r="C814" s="2"/>
      <c r="D814" s="2"/>
      <c r="E814" s="2"/>
      <c r="F814" s="2"/>
      <c r="G814" s="2"/>
      <c r="H814" s="40"/>
      <c r="I814" s="2"/>
      <c r="J814" s="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2"/>
      <c r="AJ814" s="2"/>
      <c r="AK814" s="2"/>
      <c r="AL814" s="2"/>
      <c r="AM814" s="2"/>
      <c r="AN814" s="2"/>
      <c r="AO814" s="2"/>
    </row>
    <row r="815" spans="1:41" ht="13.5">
      <c r="A815" s="2"/>
      <c r="B815" s="2"/>
      <c r="C815" s="2"/>
      <c r="D815" s="2"/>
      <c r="E815" s="2"/>
      <c r="F815" s="2"/>
      <c r="G815" s="2"/>
      <c r="H815" s="40"/>
      <c r="I815" s="2"/>
      <c r="J815" s="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2"/>
      <c r="AJ815" s="2"/>
      <c r="AK815" s="2"/>
      <c r="AL815" s="2"/>
      <c r="AM815" s="2"/>
      <c r="AN815" s="2"/>
      <c r="AO815" s="2"/>
    </row>
    <row r="816" spans="1:41" ht="13.5">
      <c r="A816" s="2"/>
      <c r="B816" s="2"/>
      <c r="C816" s="2"/>
      <c r="D816" s="2"/>
      <c r="E816" s="2"/>
      <c r="F816" s="2"/>
      <c r="G816" s="2"/>
      <c r="H816" s="40"/>
      <c r="I816" s="2"/>
      <c r="J816" s="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2"/>
      <c r="AJ816" s="2"/>
      <c r="AK816" s="2"/>
      <c r="AL816" s="2"/>
      <c r="AM816" s="2"/>
      <c r="AN816" s="2"/>
      <c r="AO816" s="2"/>
    </row>
    <row r="817" spans="1:41" ht="13.5">
      <c r="A817" s="2"/>
      <c r="B817" s="2"/>
      <c r="C817" s="2"/>
      <c r="D817" s="2"/>
      <c r="E817" s="2"/>
      <c r="F817" s="2"/>
      <c r="G817" s="2"/>
      <c r="H817" s="40"/>
      <c r="I817" s="2"/>
      <c r="J817" s="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2"/>
      <c r="AJ817" s="2"/>
      <c r="AK817" s="2"/>
      <c r="AL817" s="2"/>
      <c r="AM817" s="2"/>
      <c r="AN817" s="2"/>
      <c r="AO817" s="2"/>
    </row>
    <row r="818" spans="1:41" ht="13.5">
      <c r="A818" s="2"/>
      <c r="B818" s="2"/>
      <c r="C818" s="2"/>
      <c r="D818" s="2"/>
      <c r="E818" s="2"/>
      <c r="F818" s="2"/>
      <c r="G818" s="2"/>
      <c r="H818" s="40"/>
      <c r="I818" s="2"/>
      <c r="J818" s="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2"/>
      <c r="AJ818" s="2"/>
      <c r="AK818" s="2"/>
      <c r="AL818" s="2"/>
      <c r="AM818" s="2"/>
      <c r="AN818" s="2"/>
      <c r="AO818" s="2"/>
    </row>
    <row r="819" spans="1:41" ht="13.5">
      <c r="A819" s="2"/>
      <c r="B819" s="2"/>
      <c r="C819" s="2"/>
      <c r="D819" s="2"/>
      <c r="E819" s="2"/>
      <c r="F819" s="2"/>
      <c r="G819" s="2"/>
      <c r="H819" s="40"/>
      <c r="I819" s="2"/>
      <c r="J819" s="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2"/>
      <c r="AJ819" s="2"/>
      <c r="AK819" s="2"/>
      <c r="AL819" s="2"/>
      <c r="AM819" s="2"/>
      <c r="AN819" s="2"/>
      <c r="AO819" s="2"/>
    </row>
    <row r="820" spans="1:41" ht="13.5">
      <c r="A820" s="2"/>
      <c r="B820" s="2"/>
      <c r="C820" s="2"/>
      <c r="D820" s="2"/>
      <c r="E820" s="2"/>
      <c r="F820" s="2"/>
      <c r="G820" s="2"/>
      <c r="H820" s="40"/>
      <c r="I820" s="2"/>
      <c r="J820" s="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2"/>
      <c r="AJ820" s="2"/>
      <c r="AK820" s="2"/>
      <c r="AL820" s="2"/>
      <c r="AM820" s="2"/>
      <c r="AN820" s="2"/>
      <c r="AO820" s="2"/>
    </row>
    <row r="821" spans="1:41" ht="13.5">
      <c r="A821" s="2"/>
      <c r="B821" s="2"/>
      <c r="C821" s="2"/>
      <c r="D821" s="2"/>
      <c r="E821" s="2"/>
      <c r="F821" s="2"/>
      <c r="G821" s="2"/>
      <c r="H821" s="40"/>
      <c r="I821" s="2"/>
      <c r="J821" s="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2"/>
      <c r="AJ821" s="2"/>
      <c r="AK821" s="2"/>
      <c r="AL821" s="2"/>
      <c r="AM821" s="2"/>
      <c r="AN821" s="2"/>
      <c r="AO821" s="2"/>
    </row>
    <row r="822" spans="1:41" ht="13.5">
      <c r="A822" s="2"/>
      <c r="B822" s="2"/>
      <c r="C822" s="2"/>
      <c r="D822" s="2"/>
      <c r="E822" s="2"/>
      <c r="F822" s="2"/>
      <c r="G822" s="2"/>
      <c r="H822" s="40"/>
      <c r="I822" s="2"/>
      <c r="J822" s="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2"/>
      <c r="AJ822" s="2"/>
      <c r="AK822" s="2"/>
      <c r="AL822" s="2"/>
      <c r="AM822" s="2"/>
      <c r="AN822" s="2"/>
      <c r="AO822" s="2"/>
    </row>
    <row r="823" spans="1:41" ht="13.5">
      <c r="A823" s="2"/>
      <c r="B823" s="2"/>
      <c r="C823" s="2"/>
      <c r="D823" s="2"/>
      <c r="E823" s="2"/>
      <c r="F823" s="2"/>
      <c r="G823" s="2"/>
      <c r="H823" s="40"/>
      <c r="I823" s="2"/>
      <c r="J823" s="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2"/>
      <c r="AJ823" s="2"/>
      <c r="AK823" s="2"/>
      <c r="AL823" s="2"/>
      <c r="AM823" s="2"/>
      <c r="AN823" s="2"/>
      <c r="AO823" s="2"/>
    </row>
    <row r="824" spans="1:41" ht="13.5">
      <c r="A824" s="2"/>
      <c r="B824" s="2"/>
      <c r="C824" s="2"/>
      <c r="D824" s="2"/>
      <c r="E824" s="2"/>
      <c r="F824" s="2"/>
      <c r="G824" s="2"/>
      <c r="H824" s="40"/>
      <c r="I824" s="2"/>
      <c r="J824" s="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2"/>
      <c r="AJ824" s="2"/>
      <c r="AK824" s="2"/>
      <c r="AL824" s="2"/>
      <c r="AM824" s="2"/>
      <c r="AN824" s="2"/>
      <c r="AO824" s="2"/>
    </row>
    <row r="825" spans="1:41" ht="13.5">
      <c r="A825" s="2"/>
      <c r="B825" s="2"/>
      <c r="C825" s="2"/>
      <c r="D825" s="2"/>
      <c r="E825" s="2"/>
      <c r="F825" s="2"/>
      <c r="G825" s="2"/>
      <c r="H825" s="40"/>
      <c r="I825" s="2"/>
      <c r="J825" s="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2"/>
      <c r="AJ825" s="2"/>
      <c r="AK825" s="2"/>
      <c r="AL825" s="2"/>
      <c r="AM825" s="2"/>
      <c r="AN825" s="2"/>
      <c r="AO825" s="2"/>
    </row>
    <row r="826" spans="1:41" ht="13.5">
      <c r="A826" s="2"/>
      <c r="B826" s="2"/>
      <c r="C826" s="2"/>
      <c r="D826" s="2"/>
      <c r="E826" s="2"/>
      <c r="F826" s="2"/>
      <c r="G826" s="2"/>
      <c r="H826" s="40"/>
      <c r="I826" s="2"/>
      <c r="J826" s="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2"/>
      <c r="AJ826" s="2"/>
      <c r="AK826" s="2"/>
      <c r="AL826" s="2"/>
      <c r="AM826" s="2"/>
      <c r="AN826" s="2"/>
      <c r="AO826" s="2"/>
    </row>
    <row r="827" spans="1:41" ht="13.5">
      <c r="A827" s="2"/>
      <c r="B827" s="2"/>
      <c r="C827" s="2"/>
      <c r="D827" s="2"/>
      <c r="E827" s="2"/>
      <c r="F827" s="2"/>
      <c r="G827" s="2"/>
      <c r="H827" s="40"/>
      <c r="I827" s="2"/>
      <c r="J827" s="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2"/>
      <c r="AJ827" s="2"/>
      <c r="AK827" s="2"/>
      <c r="AL827" s="2"/>
      <c r="AM827" s="2"/>
      <c r="AN827" s="2"/>
      <c r="AO827" s="2"/>
    </row>
    <row r="828" spans="1:41" ht="13.5">
      <c r="A828" s="2"/>
      <c r="B828" s="2"/>
      <c r="C828" s="2"/>
      <c r="D828" s="2"/>
      <c r="E828" s="2"/>
      <c r="F828" s="2"/>
      <c r="G828" s="2"/>
      <c r="H828" s="40"/>
      <c r="I828" s="2"/>
      <c r="J828" s="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2"/>
      <c r="AJ828" s="2"/>
      <c r="AK828" s="2"/>
      <c r="AL828" s="2"/>
      <c r="AM828" s="2"/>
      <c r="AN828" s="2"/>
      <c r="AO828" s="2"/>
    </row>
    <row r="829" spans="1:41" ht="13.5">
      <c r="A829" s="2"/>
      <c r="B829" s="2"/>
      <c r="C829" s="2"/>
      <c r="D829" s="2"/>
      <c r="E829" s="2"/>
      <c r="F829" s="2"/>
      <c r="G829" s="2"/>
      <c r="H829" s="40"/>
      <c r="I829" s="2"/>
      <c r="J829" s="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2"/>
      <c r="AJ829" s="2"/>
      <c r="AK829" s="2"/>
      <c r="AL829" s="2"/>
      <c r="AM829" s="2"/>
      <c r="AN829" s="2"/>
      <c r="AO829" s="2"/>
    </row>
    <row r="830" spans="1:41" ht="13.5">
      <c r="A830" s="2"/>
      <c r="B830" s="2"/>
      <c r="C830" s="2"/>
      <c r="D830" s="2"/>
      <c r="E830" s="2"/>
      <c r="F830" s="2"/>
      <c r="G830" s="2"/>
      <c r="H830" s="40"/>
      <c r="I830" s="2"/>
      <c r="J830" s="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2"/>
      <c r="AJ830" s="2"/>
      <c r="AK830" s="2"/>
      <c r="AL830" s="2"/>
      <c r="AM830" s="2"/>
      <c r="AN830" s="2"/>
      <c r="AO830" s="2"/>
    </row>
    <row r="831" spans="1:41" ht="13.5">
      <c r="A831" s="2"/>
      <c r="B831" s="2"/>
      <c r="C831" s="2"/>
      <c r="D831" s="2"/>
      <c r="E831" s="2"/>
      <c r="F831" s="2"/>
      <c r="G831" s="2"/>
      <c r="H831" s="40"/>
      <c r="I831" s="2"/>
      <c r="J831" s="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2"/>
      <c r="AJ831" s="2"/>
      <c r="AK831" s="2"/>
      <c r="AL831" s="2"/>
      <c r="AM831" s="2"/>
      <c r="AN831" s="2"/>
      <c r="AO831" s="2"/>
    </row>
    <row r="832" spans="1:41" ht="13.5">
      <c r="A832" s="2"/>
      <c r="B832" s="2"/>
      <c r="C832" s="2"/>
      <c r="D832" s="2"/>
      <c r="E832" s="2"/>
      <c r="F832" s="2"/>
      <c r="G832" s="2"/>
      <c r="H832" s="40"/>
      <c r="I832" s="2"/>
      <c r="J832" s="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2"/>
      <c r="AJ832" s="2"/>
      <c r="AK832" s="2"/>
      <c r="AL832" s="2"/>
      <c r="AM832" s="2"/>
      <c r="AN832" s="2"/>
      <c r="AO832" s="2"/>
    </row>
    <row r="833" spans="1:41" ht="13.5">
      <c r="A833" s="2"/>
      <c r="B833" s="2"/>
      <c r="C833" s="2"/>
      <c r="D833" s="2"/>
      <c r="E833" s="2"/>
      <c r="F833" s="2"/>
      <c r="G833" s="2"/>
      <c r="H833" s="40"/>
      <c r="I833" s="2"/>
      <c r="J833" s="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2"/>
      <c r="AJ833" s="2"/>
      <c r="AK833" s="2"/>
      <c r="AL833" s="2"/>
      <c r="AM833" s="2"/>
      <c r="AN833" s="2"/>
      <c r="AO833" s="2"/>
    </row>
    <row r="834" spans="1:41" ht="13.5">
      <c r="A834" s="2"/>
      <c r="B834" s="2"/>
      <c r="C834" s="2"/>
      <c r="D834" s="2"/>
      <c r="E834" s="2"/>
      <c r="F834" s="2"/>
      <c r="G834" s="2"/>
      <c r="H834" s="40"/>
      <c r="I834" s="2"/>
      <c r="J834" s="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2"/>
      <c r="AJ834" s="2"/>
      <c r="AK834" s="2"/>
      <c r="AL834" s="2"/>
      <c r="AM834" s="2"/>
      <c r="AN834" s="2"/>
      <c r="AO834" s="2"/>
    </row>
    <row r="835" spans="1:41" ht="13.5">
      <c r="A835" s="2"/>
      <c r="B835" s="2"/>
      <c r="C835" s="2"/>
      <c r="D835" s="2"/>
      <c r="E835" s="2"/>
      <c r="F835" s="2"/>
      <c r="G835" s="2"/>
      <c r="H835" s="40"/>
      <c r="I835" s="2"/>
      <c r="J835" s="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2"/>
      <c r="AJ835" s="2"/>
      <c r="AK835" s="2"/>
      <c r="AL835" s="2"/>
      <c r="AM835" s="2"/>
      <c r="AN835" s="2"/>
      <c r="AO835" s="2"/>
    </row>
    <row r="836" spans="1:41" ht="13.5">
      <c r="A836" s="2"/>
      <c r="B836" s="2"/>
      <c r="C836" s="2"/>
      <c r="D836" s="2"/>
      <c r="E836" s="2"/>
      <c r="F836" s="2"/>
      <c r="G836" s="2"/>
      <c r="H836" s="40"/>
      <c r="I836" s="2"/>
      <c r="J836" s="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2"/>
      <c r="AJ836" s="2"/>
      <c r="AK836" s="2"/>
      <c r="AL836" s="2"/>
      <c r="AM836" s="2"/>
      <c r="AN836" s="2"/>
      <c r="AO836" s="2"/>
    </row>
    <row r="837" spans="1:41" ht="13.5">
      <c r="A837" s="2"/>
      <c r="B837" s="2"/>
      <c r="C837" s="2"/>
      <c r="D837" s="2"/>
      <c r="E837" s="2"/>
      <c r="F837" s="2"/>
      <c r="G837" s="2"/>
      <c r="H837" s="40"/>
      <c r="I837" s="2"/>
      <c r="J837" s="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2"/>
      <c r="AJ837" s="2"/>
      <c r="AK837" s="2"/>
      <c r="AL837" s="2"/>
      <c r="AM837" s="2"/>
      <c r="AN837" s="2"/>
      <c r="AO837" s="2"/>
    </row>
    <row r="838" spans="1:41" ht="13.5">
      <c r="A838" s="2"/>
      <c r="B838" s="2"/>
      <c r="C838" s="2"/>
      <c r="D838" s="2"/>
      <c r="E838" s="2"/>
      <c r="F838" s="2"/>
      <c r="G838" s="2"/>
      <c r="H838" s="40"/>
      <c r="I838" s="2"/>
      <c r="J838" s="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2"/>
      <c r="AJ838" s="2"/>
      <c r="AK838" s="2"/>
      <c r="AL838" s="2"/>
      <c r="AM838" s="2"/>
      <c r="AN838" s="2"/>
      <c r="AO838" s="2"/>
    </row>
    <row r="839" spans="1:41" ht="13.5">
      <c r="A839" s="2"/>
      <c r="B839" s="2"/>
      <c r="C839" s="2"/>
      <c r="D839" s="2"/>
      <c r="E839" s="2"/>
      <c r="F839" s="2"/>
      <c r="G839" s="2"/>
      <c r="H839" s="40"/>
      <c r="I839" s="2"/>
      <c r="J839" s="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2"/>
      <c r="AJ839" s="2"/>
      <c r="AK839" s="2"/>
      <c r="AL839" s="2"/>
      <c r="AM839" s="2"/>
      <c r="AN839" s="2"/>
      <c r="AO839" s="2"/>
    </row>
    <row r="840" spans="1:41" ht="13.5">
      <c r="A840" s="2"/>
      <c r="B840" s="2"/>
      <c r="C840" s="2"/>
      <c r="D840" s="2"/>
      <c r="E840" s="2"/>
      <c r="F840" s="2"/>
      <c r="G840" s="2"/>
      <c r="H840" s="40"/>
      <c r="I840" s="2"/>
      <c r="J840" s="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2"/>
      <c r="AJ840" s="2"/>
      <c r="AK840" s="2"/>
      <c r="AL840" s="2"/>
      <c r="AM840" s="2"/>
      <c r="AN840" s="2"/>
      <c r="AO840" s="2"/>
    </row>
    <row r="841" spans="1:41" ht="13.5">
      <c r="A841" s="2"/>
      <c r="B841" s="2"/>
      <c r="C841" s="2"/>
      <c r="D841" s="2"/>
      <c r="E841" s="2"/>
      <c r="F841" s="2"/>
      <c r="G841" s="2"/>
      <c r="H841" s="40"/>
      <c r="I841" s="2"/>
      <c r="J841" s="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2"/>
      <c r="AJ841" s="2"/>
      <c r="AK841" s="2"/>
      <c r="AL841" s="2"/>
      <c r="AM841" s="2"/>
      <c r="AN841" s="2"/>
      <c r="AO841" s="2"/>
    </row>
    <row r="842" spans="1:41" ht="13.5">
      <c r="A842" s="2"/>
      <c r="B842" s="2"/>
      <c r="C842" s="2"/>
      <c r="D842" s="2"/>
      <c r="E842" s="2"/>
      <c r="F842" s="2"/>
      <c r="G842" s="2"/>
      <c r="H842" s="40"/>
      <c r="I842" s="2"/>
      <c r="J842" s="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2"/>
      <c r="AJ842" s="2"/>
      <c r="AK842" s="2"/>
      <c r="AL842" s="2"/>
      <c r="AM842" s="2"/>
      <c r="AN842" s="2"/>
      <c r="AO842" s="2"/>
    </row>
    <row r="843" spans="1:41" ht="13.5">
      <c r="A843" s="2"/>
      <c r="B843" s="2"/>
      <c r="C843" s="2"/>
      <c r="D843" s="2"/>
      <c r="E843" s="2"/>
      <c r="F843" s="2"/>
      <c r="G843" s="2"/>
      <c r="H843" s="40"/>
      <c r="I843" s="2"/>
      <c r="J843" s="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2"/>
      <c r="AJ843" s="2"/>
      <c r="AK843" s="2"/>
      <c r="AL843" s="2"/>
      <c r="AM843" s="2"/>
      <c r="AN843" s="2"/>
      <c r="AO843" s="2"/>
    </row>
    <row r="844" spans="1:41" ht="13.5">
      <c r="A844" s="2"/>
      <c r="B844" s="2"/>
      <c r="C844" s="2"/>
      <c r="D844" s="2"/>
      <c r="E844" s="2"/>
      <c r="F844" s="2"/>
      <c r="G844" s="2"/>
      <c r="H844" s="40"/>
      <c r="I844" s="2"/>
      <c r="J844" s="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2"/>
      <c r="AJ844" s="2"/>
      <c r="AK844" s="2"/>
      <c r="AL844" s="2"/>
      <c r="AM844" s="2"/>
      <c r="AN844" s="2"/>
      <c r="AO844" s="2"/>
    </row>
    <row r="845" spans="1:41" ht="13.5">
      <c r="A845" s="2"/>
      <c r="B845" s="2"/>
      <c r="C845" s="2"/>
      <c r="D845" s="2"/>
      <c r="E845" s="2"/>
      <c r="F845" s="2"/>
      <c r="G845" s="2"/>
      <c r="H845" s="40"/>
      <c r="I845" s="2"/>
      <c r="J845" s="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2"/>
      <c r="AJ845" s="2"/>
      <c r="AK845" s="2"/>
      <c r="AL845" s="2"/>
      <c r="AM845" s="2"/>
      <c r="AN845" s="2"/>
      <c r="AO845" s="2"/>
    </row>
    <row r="846" spans="1:41" ht="13.5">
      <c r="A846" s="2"/>
      <c r="B846" s="2"/>
      <c r="C846" s="2"/>
      <c r="D846" s="2"/>
      <c r="E846" s="2"/>
      <c r="F846" s="2"/>
      <c r="G846" s="2"/>
      <c r="H846" s="40"/>
      <c r="I846" s="2"/>
      <c r="J846" s="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2"/>
      <c r="AJ846" s="2"/>
      <c r="AK846" s="2"/>
      <c r="AL846" s="2"/>
      <c r="AM846" s="2"/>
      <c r="AN846" s="2"/>
      <c r="AO846" s="2"/>
    </row>
    <row r="847" spans="1:41" ht="13.5">
      <c r="A847" s="2"/>
      <c r="B847" s="2"/>
      <c r="C847" s="2"/>
      <c r="D847" s="2"/>
      <c r="E847" s="2"/>
      <c r="F847" s="2"/>
      <c r="G847" s="2"/>
      <c r="H847" s="40"/>
      <c r="I847" s="2"/>
      <c r="J847" s="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2"/>
      <c r="AJ847" s="2"/>
      <c r="AK847" s="2"/>
      <c r="AL847" s="2"/>
      <c r="AM847" s="2"/>
      <c r="AN847" s="2"/>
      <c r="AO847" s="2"/>
    </row>
    <row r="848" spans="1:41" ht="13.5">
      <c r="A848" s="2"/>
      <c r="B848" s="2"/>
      <c r="C848" s="2"/>
      <c r="D848" s="2"/>
      <c r="E848" s="2"/>
      <c r="F848" s="2"/>
      <c r="G848" s="2"/>
      <c r="H848" s="40"/>
      <c r="I848" s="2"/>
      <c r="J848" s="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2"/>
      <c r="AJ848" s="2"/>
      <c r="AK848" s="2"/>
      <c r="AL848" s="2"/>
      <c r="AM848" s="2"/>
      <c r="AN848" s="2"/>
      <c r="AO848" s="2"/>
    </row>
    <row r="849" spans="1:41" ht="13.5">
      <c r="A849" s="2"/>
      <c r="B849" s="2"/>
      <c r="C849" s="2"/>
      <c r="D849" s="2"/>
      <c r="E849" s="2"/>
      <c r="F849" s="2"/>
      <c r="G849" s="2"/>
      <c r="H849" s="40"/>
      <c r="I849" s="2"/>
      <c r="J849" s="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2"/>
      <c r="AJ849" s="2"/>
      <c r="AK849" s="2"/>
      <c r="AL849" s="2"/>
      <c r="AM849" s="2"/>
      <c r="AN849" s="2"/>
      <c r="AO849" s="2"/>
    </row>
    <row r="850" spans="1:41" ht="13.5">
      <c r="A850" s="2"/>
      <c r="B850" s="2"/>
      <c r="C850" s="2"/>
      <c r="D850" s="2"/>
      <c r="E850" s="2"/>
      <c r="F850" s="2"/>
      <c r="G850" s="2"/>
      <c r="H850" s="40"/>
      <c r="I850" s="2"/>
      <c r="J850" s="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2"/>
      <c r="AJ850" s="2"/>
      <c r="AK850" s="2"/>
      <c r="AL850" s="2"/>
      <c r="AM850" s="2"/>
      <c r="AN850" s="2"/>
      <c r="AO850" s="2"/>
    </row>
    <row r="851" spans="1:41" ht="13.5">
      <c r="A851" s="2"/>
      <c r="B851" s="2"/>
      <c r="C851" s="2"/>
      <c r="D851" s="2"/>
      <c r="E851" s="2"/>
      <c r="F851" s="2"/>
      <c r="G851" s="2"/>
      <c r="H851" s="40"/>
      <c r="I851" s="2"/>
      <c r="J851" s="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2"/>
      <c r="AJ851" s="2"/>
      <c r="AK851" s="2"/>
      <c r="AL851" s="2"/>
      <c r="AM851" s="2"/>
      <c r="AN851" s="2"/>
      <c r="AO851" s="2"/>
    </row>
    <row r="852" spans="1:41" ht="13.5">
      <c r="A852" s="2"/>
      <c r="B852" s="2"/>
      <c r="C852" s="2"/>
      <c r="D852" s="2"/>
      <c r="E852" s="2"/>
      <c r="F852" s="2"/>
      <c r="G852" s="2"/>
      <c r="H852" s="40"/>
      <c r="I852" s="2"/>
      <c r="J852" s="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2"/>
      <c r="AJ852" s="2"/>
      <c r="AK852" s="2"/>
      <c r="AL852" s="2"/>
      <c r="AM852" s="2"/>
      <c r="AN852" s="2"/>
      <c r="AO852" s="2"/>
    </row>
    <row r="853" spans="1:41" ht="13.5">
      <c r="A853" s="2"/>
      <c r="B853" s="2"/>
      <c r="C853" s="2"/>
      <c r="D853" s="2"/>
      <c r="E853" s="2"/>
      <c r="F853" s="2"/>
      <c r="G853" s="2"/>
      <c r="H853" s="40"/>
      <c r="I853" s="2"/>
      <c r="J853" s="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2"/>
      <c r="AJ853" s="2"/>
      <c r="AK853" s="2"/>
      <c r="AL853" s="2"/>
      <c r="AM853" s="2"/>
      <c r="AN853" s="2"/>
      <c r="AO853" s="2"/>
    </row>
    <row r="854" spans="1:41" ht="13.5">
      <c r="A854" s="2"/>
      <c r="B854" s="2"/>
      <c r="C854" s="2"/>
      <c r="D854" s="2"/>
      <c r="E854" s="2"/>
      <c r="F854" s="2"/>
      <c r="G854" s="2"/>
      <c r="H854" s="40"/>
      <c r="I854" s="2"/>
      <c r="J854" s="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2"/>
      <c r="AJ854" s="2"/>
      <c r="AK854" s="2"/>
      <c r="AL854" s="2"/>
      <c r="AM854" s="2"/>
      <c r="AN854" s="2"/>
      <c r="AO854" s="2"/>
    </row>
    <row r="855" spans="1:41" ht="13.5">
      <c r="A855" s="2"/>
      <c r="B855" s="2"/>
      <c r="C855" s="2"/>
      <c r="D855" s="2"/>
      <c r="E855" s="2"/>
      <c r="F855" s="2"/>
      <c r="G855" s="2"/>
      <c r="H855" s="40"/>
      <c r="I855" s="2"/>
      <c r="J855" s="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2"/>
      <c r="AJ855" s="2"/>
      <c r="AK855" s="2"/>
      <c r="AL855" s="2"/>
      <c r="AM855" s="2"/>
      <c r="AN855" s="2"/>
      <c r="AO855" s="2"/>
    </row>
    <row r="856" spans="1:41" ht="13.5">
      <c r="A856" s="2"/>
      <c r="B856" s="2"/>
      <c r="C856" s="2"/>
      <c r="D856" s="2"/>
      <c r="E856" s="2"/>
      <c r="F856" s="2"/>
      <c r="G856" s="2"/>
      <c r="H856" s="40"/>
      <c r="I856" s="2"/>
      <c r="J856" s="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2"/>
      <c r="AJ856" s="2"/>
      <c r="AK856" s="2"/>
      <c r="AL856" s="2"/>
      <c r="AM856" s="2"/>
      <c r="AN856" s="2"/>
      <c r="AO856" s="2"/>
    </row>
    <row r="857" spans="1:41" ht="13.5">
      <c r="A857" s="2"/>
      <c r="B857" s="2"/>
      <c r="C857" s="2"/>
      <c r="D857" s="2"/>
      <c r="E857" s="2"/>
      <c r="F857" s="2"/>
      <c r="G857" s="2"/>
      <c r="H857" s="40"/>
      <c r="I857" s="2"/>
      <c r="J857" s="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2"/>
      <c r="AJ857" s="2"/>
      <c r="AK857" s="2"/>
      <c r="AL857" s="2"/>
      <c r="AM857" s="2"/>
      <c r="AN857" s="2"/>
      <c r="AO857" s="2"/>
    </row>
    <row r="858" spans="1:41" ht="13.5">
      <c r="A858" s="2"/>
      <c r="B858" s="2"/>
      <c r="C858" s="2"/>
      <c r="D858" s="2"/>
      <c r="E858" s="2"/>
      <c r="F858" s="2"/>
      <c r="G858" s="2"/>
      <c r="H858" s="40"/>
      <c r="I858" s="2"/>
      <c r="J858" s="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2"/>
      <c r="AJ858" s="2"/>
      <c r="AK858" s="2"/>
      <c r="AL858" s="2"/>
      <c r="AM858" s="2"/>
      <c r="AN858" s="2"/>
      <c r="AO858" s="2"/>
    </row>
    <row r="859" spans="1:41" ht="13.5">
      <c r="A859" s="2"/>
      <c r="B859" s="2"/>
      <c r="C859" s="2"/>
      <c r="D859" s="2"/>
      <c r="E859" s="2"/>
      <c r="F859" s="2"/>
      <c r="G859" s="2"/>
      <c r="H859" s="40"/>
      <c r="I859" s="2"/>
      <c r="J859" s="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2"/>
      <c r="AJ859" s="2"/>
      <c r="AK859" s="2"/>
      <c r="AL859" s="2"/>
      <c r="AM859" s="2"/>
      <c r="AN859" s="2"/>
      <c r="AO859" s="2"/>
    </row>
    <row r="860" spans="1:41" ht="13.5">
      <c r="A860" s="2"/>
      <c r="B860" s="2"/>
      <c r="C860" s="2"/>
      <c r="D860" s="2"/>
      <c r="E860" s="2"/>
      <c r="F860" s="2"/>
      <c r="G860" s="2"/>
      <c r="H860" s="40"/>
      <c r="I860" s="2"/>
      <c r="J860" s="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2"/>
      <c r="AJ860" s="2"/>
      <c r="AK860" s="2"/>
      <c r="AL860" s="2"/>
      <c r="AM860" s="2"/>
      <c r="AN860" s="2"/>
      <c r="AO860" s="2"/>
    </row>
    <row r="861" spans="1:41" ht="13.5">
      <c r="A861" s="2"/>
      <c r="B861" s="2"/>
      <c r="C861" s="2"/>
      <c r="D861" s="2"/>
      <c r="E861" s="2"/>
      <c r="F861" s="2"/>
      <c r="G861" s="2"/>
      <c r="H861" s="40"/>
      <c r="I861" s="2"/>
      <c r="J861" s="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2"/>
      <c r="AJ861" s="2"/>
      <c r="AK861" s="2"/>
      <c r="AL861" s="2"/>
      <c r="AM861" s="2"/>
      <c r="AN861" s="2"/>
      <c r="AO861" s="2"/>
    </row>
    <row r="862" spans="1:41" ht="13.5">
      <c r="A862" s="2"/>
      <c r="B862" s="2"/>
      <c r="C862" s="2"/>
      <c r="D862" s="2"/>
      <c r="E862" s="2"/>
      <c r="F862" s="2"/>
      <c r="G862" s="2"/>
      <c r="H862" s="40"/>
      <c r="I862" s="2"/>
      <c r="J862" s="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2"/>
      <c r="AJ862" s="2"/>
      <c r="AK862" s="2"/>
      <c r="AL862" s="2"/>
      <c r="AM862" s="2"/>
      <c r="AN862" s="2"/>
      <c r="AO862" s="2"/>
    </row>
    <row r="863" spans="1:41" ht="13.5">
      <c r="A863" s="2"/>
      <c r="B863" s="2"/>
      <c r="C863" s="2"/>
      <c r="D863" s="2"/>
      <c r="E863" s="2"/>
      <c r="F863" s="2"/>
      <c r="G863" s="2"/>
      <c r="H863" s="40"/>
      <c r="I863" s="2"/>
      <c r="J863" s="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2"/>
      <c r="AJ863" s="2"/>
      <c r="AK863" s="2"/>
      <c r="AL863" s="2"/>
      <c r="AM863" s="2"/>
      <c r="AN863" s="2"/>
      <c r="AO863" s="2"/>
    </row>
    <row r="864" spans="1:41" ht="13.5">
      <c r="A864" s="2"/>
      <c r="B864" s="2"/>
      <c r="C864" s="2"/>
      <c r="D864" s="2"/>
      <c r="E864" s="2"/>
      <c r="F864" s="2"/>
      <c r="G864" s="2"/>
      <c r="H864" s="40"/>
      <c r="I864" s="2"/>
      <c r="J864" s="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2"/>
      <c r="AJ864" s="2"/>
      <c r="AK864" s="2"/>
      <c r="AL864" s="2"/>
      <c r="AM864" s="2"/>
      <c r="AN864" s="2"/>
      <c r="AO864" s="2"/>
    </row>
    <row r="865" spans="1:41" ht="13.5">
      <c r="A865" s="2"/>
      <c r="B865" s="2"/>
      <c r="C865" s="2"/>
      <c r="D865" s="2"/>
      <c r="E865" s="2"/>
      <c r="F865" s="2"/>
      <c r="G865" s="2"/>
      <c r="H865" s="40"/>
      <c r="I865" s="2"/>
      <c r="J865" s="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2"/>
      <c r="AJ865" s="2"/>
      <c r="AK865" s="2"/>
      <c r="AL865" s="2"/>
      <c r="AM865" s="2"/>
      <c r="AN865" s="2"/>
      <c r="AO865" s="2"/>
    </row>
    <row r="866" spans="1:41" ht="13.5">
      <c r="A866" s="2"/>
      <c r="B866" s="2"/>
      <c r="C866" s="2"/>
      <c r="D866" s="2"/>
      <c r="E866" s="2"/>
      <c r="F866" s="2"/>
      <c r="G866" s="2"/>
      <c r="H866" s="40"/>
      <c r="I866" s="2"/>
      <c r="J866" s="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2"/>
      <c r="AJ866" s="2"/>
      <c r="AK866" s="2"/>
      <c r="AL866" s="2"/>
      <c r="AM866" s="2"/>
      <c r="AN866" s="2"/>
      <c r="AO866" s="2"/>
    </row>
    <row r="867" spans="1:41" ht="13.5">
      <c r="A867" s="2"/>
      <c r="B867" s="2"/>
      <c r="C867" s="2"/>
      <c r="D867" s="2"/>
      <c r="E867" s="2"/>
      <c r="F867" s="2"/>
      <c r="G867" s="2"/>
      <c r="H867" s="40"/>
      <c r="I867" s="2"/>
      <c r="J867" s="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2"/>
      <c r="AJ867" s="2"/>
      <c r="AK867" s="2"/>
      <c r="AL867" s="2"/>
      <c r="AM867" s="2"/>
      <c r="AN867" s="2"/>
      <c r="AO867" s="2"/>
    </row>
    <row r="868" spans="1:41" ht="13.5">
      <c r="A868" s="2"/>
      <c r="B868" s="2"/>
      <c r="C868" s="2"/>
      <c r="D868" s="2"/>
      <c r="E868" s="2"/>
      <c r="F868" s="2"/>
      <c r="G868" s="2"/>
      <c r="H868" s="40"/>
      <c r="I868" s="2"/>
      <c r="J868" s="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2"/>
      <c r="AJ868" s="2"/>
      <c r="AK868" s="2"/>
      <c r="AL868" s="2"/>
      <c r="AM868" s="2"/>
      <c r="AN868" s="2"/>
      <c r="AO868" s="2"/>
    </row>
    <row r="869" spans="1:41" ht="13.5">
      <c r="A869" s="2"/>
      <c r="B869" s="2"/>
      <c r="C869" s="2"/>
      <c r="D869" s="2"/>
      <c r="E869" s="2"/>
      <c r="F869" s="2"/>
      <c r="G869" s="2"/>
      <c r="H869" s="40"/>
      <c r="I869" s="2"/>
      <c r="J869" s="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2"/>
      <c r="AJ869" s="2"/>
      <c r="AK869" s="2"/>
      <c r="AL869" s="2"/>
      <c r="AM869" s="2"/>
      <c r="AN869" s="2"/>
      <c r="AO869" s="2"/>
    </row>
    <row r="870" spans="1:41" ht="13.5">
      <c r="A870" s="2"/>
      <c r="B870" s="2"/>
      <c r="C870" s="2"/>
      <c r="D870" s="2"/>
      <c r="E870" s="2"/>
      <c r="F870" s="2"/>
      <c r="G870" s="2"/>
      <c r="H870" s="40"/>
      <c r="I870" s="2"/>
      <c r="J870" s="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2"/>
      <c r="AJ870" s="2"/>
      <c r="AK870" s="2"/>
      <c r="AL870" s="2"/>
      <c r="AM870" s="2"/>
      <c r="AN870" s="2"/>
      <c r="AO870" s="2"/>
    </row>
    <row r="871" spans="1:41" ht="13.5">
      <c r="A871" s="2"/>
      <c r="B871" s="2"/>
      <c r="C871" s="2"/>
      <c r="D871" s="2"/>
      <c r="E871" s="2"/>
      <c r="F871" s="2"/>
      <c r="G871" s="2"/>
      <c r="H871" s="40"/>
      <c r="I871" s="2"/>
      <c r="J871" s="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2"/>
      <c r="AJ871" s="2"/>
      <c r="AK871" s="2"/>
      <c r="AL871" s="2"/>
      <c r="AM871" s="2"/>
      <c r="AN871" s="2"/>
      <c r="AO871" s="2"/>
    </row>
    <row r="872" spans="1:41" ht="13.5">
      <c r="A872" s="2"/>
      <c r="B872" s="2"/>
      <c r="C872" s="2"/>
      <c r="D872" s="2"/>
      <c r="E872" s="2"/>
      <c r="F872" s="2"/>
      <c r="G872" s="2"/>
      <c r="H872" s="40"/>
      <c r="I872" s="2"/>
      <c r="J872" s="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2"/>
      <c r="AJ872" s="2"/>
      <c r="AK872" s="2"/>
      <c r="AL872" s="2"/>
      <c r="AM872" s="2"/>
      <c r="AN872" s="2"/>
      <c r="AO872" s="2"/>
    </row>
    <row r="873" spans="1:41" ht="13.5">
      <c r="A873" s="2"/>
      <c r="B873" s="2"/>
      <c r="C873" s="2"/>
      <c r="D873" s="2"/>
      <c r="E873" s="2"/>
      <c r="F873" s="2"/>
      <c r="G873" s="2"/>
      <c r="H873" s="40"/>
      <c r="I873" s="2"/>
      <c r="J873" s="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2"/>
      <c r="AJ873" s="2"/>
      <c r="AK873" s="2"/>
      <c r="AL873" s="2"/>
      <c r="AM873" s="2"/>
      <c r="AN873" s="2"/>
      <c r="AO873" s="2"/>
    </row>
    <row r="874" spans="1:41" ht="13.5">
      <c r="A874" s="2"/>
      <c r="B874" s="2"/>
      <c r="C874" s="2"/>
      <c r="D874" s="2"/>
      <c r="E874" s="2"/>
      <c r="F874" s="2"/>
      <c r="G874" s="2"/>
      <c r="H874" s="40"/>
      <c r="I874" s="2"/>
      <c r="J874" s="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2"/>
      <c r="AJ874" s="2"/>
      <c r="AK874" s="2"/>
      <c r="AL874" s="2"/>
      <c r="AM874" s="2"/>
      <c r="AN874" s="2"/>
      <c r="AO874" s="2"/>
    </row>
    <row r="875" spans="1:41" ht="13.5">
      <c r="A875" s="2"/>
      <c r="B875" s="2"/>
      <c r="C875" s="2"/>
      <c r="D875" s="2"/>
      <c r="E875" s="2"/>
      <c r="F875" s="2"/>
      <c r="G875" s="2"/>
      <c r="H875" s="40"/>
      <c r="I875" s="2"/>
      <c r="J875" s="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2"/>
      <c r="AJ875" s="2"/>
      <c r="AK875" s="2"/>
      <c r="AL875" s="2"/>
      <c r="AM875" s="2"/>
      <c r="AN875" s="2"/>
      <c r="AO875" s="2"/>
    </row>
    <row r="876" spans="1:41" ht="13.5">
      <c r="A876" s="2"/>
      <c r="B876" s="2"/>
      <c r="C876" s="2"/>
      <c r="D876" s="2"/>
      <c r="E876" s="2"/>
      <c r="F876" s="2"/>
      <c r="G876" s="2"/>
      <c r="H876" s="40"/>
      <c r="I876" s="2"/>
      <c r="J876" s="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2"/>
      <c r="AJ876" s="2"/>
      <c r="AK876" s="2"/>
      <c r="AL876" s="2"/>
      <c r="AM876" s="2"/>
      <c r="AN876" s="2"/>
      <c r="AO876" s="2"/>
    </row>
    <row r="877" spans="1:41" ht="13.5">
      <c r="A877" s="2"/>
      <c r="B877" s="2"/>
      <c r="C877" s="2"/>
      <c r="D877" s="2"/>
      <c r="E877" s="2"/>
      <c r="F877" s="2"/>
      <c r="G877" s="2"/>
      <c r="H877" s="40"/>
      <c r="I877" s="2"/>
      <c r="J877" s="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2"/>
      <c r="AJ877" s="2"/>
      <c r="AK877" s="2"/>
      <c r="AL877" s="2"/>
      <c r="AM877" s="2"/>
      <c r="AN877" s="2"/>
      <c r="AO877" s="2"/>
    </row>
    <row r="878" spans="1:41" ht="13.5">
      <c r="A878" s="2"/>
      <c r="B878" s="2"/>
      <c r="C878" s="2"/>
      <c r="D878" s="2"/>
      <c r="E878" s="2"/>
      <c r="F878" s="2"/>
      <c r="G878" s="2"/>
      <c r="H878" s="40"/>
      <c r="I878" s="2"/>
      <c r="J878" s="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2"/>
      <c r="AJ878" s="2"/>
      <c r="AK878" s="2"/>
      <c r="AL878" s="2"/>
      <c r="AM878" s="2"/>
      <c r="AN878" s="2"/>
      <c r="AO878" s="2"/>
    </row>
    <row r="879" spans="1:41" ht="13.5">
      <c r="A879" s="2"/>
      <c r="B879" s="2"/>
      <c r="C879" s="2"/>
      <c r="D879" s="2"/>
      <c r="E879" s="2"/>
      <c r="F879" s="2"/>
      <c r="G879" s="2"/>
      <c r="H879" s="40"/>
      <c r="I879" s="2"/>
      <c r="J879" s="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2"/>
      <c r="AJ879" s="2"/>
      <c r="AK879" s="2"/>
      <c r="AL879" s="2"/>
      <c r="AM879" s="2"/>
      <c r="AN879" s="2"/>
      <c r="AO879" s="2"/>
    </row>
    <row r="880" spans="1:41" ht="13.5">
      <c r="A880" s="2"/>
      <c r="B880" s="2"/>
      <c r="C880" s="2"/>
      <c r="D880" s="2"/>
      <c r="E880" s="2"/>
      <c r="F880" s="2"/>
      <c r="G880" s="2"/>
      <c r="H880" s="40"/>
      <c r="I880" s="2"/>
      <c r="J880" s="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2"/>
      <c r="AJ880" s="2"/>
      <c r="AK880" s="2"/>
      <c r="AL880" s="2"/>
      <c r="AM880" s="2"/>
      <c r="AN880" s="2"/>
      <c r="AO880" s="2"/>
    </row>
    <row r="881" spans="1:41" ht="13.5">
      <c r="A881" s="2"/>
      <c r="B881" s="2"/>
      <c r="C881" s="2"/>
      <c r="D881" s="2"/>
      <c r="E881" s="2"/>
      <c r="F881" s="2"/>
      <c r="G881" s="2"/>
      <c r="H881" s="40"/>
      <c r="I881" s="2"/>
      <c r="J881" s="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2"/>
      <c r="AJ881" s="2"/>
      <c r="AK881" s="2"/>
      <c r="AL881" s="2"/>
      <c r="AM881" s="2"/>
      <c r="AN881" s="2"/>
      <c r="AO881" s="2"/>
    </row>
    <row r="882" spans="1:41" ht="13.5">
      <c r="A882" s="2"/>
      <c r="B882" s="2"/>
      <c r="C882" s="2"/>
      <c r="D882" s="2"/>
      <c r="E882" s="2"/>
      <c r="F882" s="2"/>
      <c r="G882" s="2"/>
      <c r="H882" s="40"/>
      <c r="I882" s="2"/>
      <c r="J882" s="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2"/>
      <c r="AJ882" s="2"/>
      <c r="AK882" s="2"/>
      <c r="AL882" s="2"/>
      <c r="AM882" s="2"/>
      <c r="AN882" s="2"/>
      <c r="AO882" s="2"/>
    </row>
    <row r="883" spans="1:41" ht="13.5">
      <c r="A883" s="2"/>
      <c r="B883" s="2"/>
      <c r="C883" s="2"/>
      <c r="D883" s="2"/>
      <c r="E883" s="2"/>
      <c r="F883" s="2"/>
      <c r="G883" s="2"/>
      <c r="H883" s="40"/>
      <c r="I883" s="2"/>
      <c r="J883" s="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2"/>
      <c r="AJ883" s="2"/>
      <c r="AK883" s="2"/>
      <c r="AL883" s="2"/>
      <c r="AM883" s="2"/>
      <c r="AN883" s="2"/>
      <c r="AO883" s="2"/>
    </row>
    <row r="884" spans="1:41" ht="13.5">
      <c r="A884" s="2"/>
      <c r="B884" s="2"/>
      <c r="C884" s="2"/>
      <c r="D884" s="2"/>
      <c r="E884" s="2"/>
      <c r="F884" s="2"/>
      <c r="G884" s="2"/>
      <c r="H884" s="40"/>
      <c r="I884" s="2"/>
      <c r="J884" s="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2"/>
      <c r="AJ884" s="2"/>
      <c r="AK884" s="2"/>
      <c r="AL884" s="2"/>
      <c r="AM884" s="2"/>
      <c r="AN884" s="2"/>
      <c r="AO884" s="2"/>
    </row>
    <row r="885" spans="1:41" ht="13.5">
      <c r="A885" s="2"/>
      <c r="B885" s="2"/>
      <c r="C885" s="2"/>
      <c r="D885" s="2"/>
      <c r="E885" s="2"/>
      <c r="F885" s="2"/>
      <c r="G885" s="2"/>
      <c r="H885" s="40"/>
      <c r="I885" s="2"/>
      <c r="J885" s="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2"/>
      <c r="AJ885" s="2"/>
      <c r="AK885" s="2"/>
      <c r="AL885" s="2"/>
      <c r="AM885" s="2"/>
      <c r="AN885" s="2"/>
      <c r="AO885" s="2"/>
    </row>
    <row r="886" spans="1:41" ht="13.5">
      <c r="A886" s="2"/>
      <c r="B886" s="2"/>
      <c r="C886" s="2"/>
      <c r="D886" s="2"/>
      <c r="E886" s="2"/>
      <c r="F886" s="2"/>
      <c r="G886" s="2"/>
      <c r="H886" s="40"/>
      <c r="I886" s="2"/>
      <c r="J886" s="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2"/>
      <c r="AJ886" s="2"/>
      <c r="AK886" s="2"/>
      <c r="AL886" s="2"/>
      <c r="AM886" s="2"/>
      <c r="AN886" s="2"/>
      <c r="AO886" s="2"/>
    </row>
    <row r="887" spans="1:41" ht="13.5">
      <c r="A887" s="2"/>
      <c r="B887" s="2"/>
      <c r="C887" s="2"/>
      <c r="D887" s="2"/>
      <c r="E887" s="2"/>
      <c r="F887" s="2"/>
      <c r="G887" s="2"/>
      <c r="H887" s="40"/>
      <c r="I887" s="2"/>
      <c r="J887" s="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2"/>
      <c r="AJ887" s="2"/>
      <c r="AK887" s="2"/>
      <c r="AL887" s="2"/>
      <c r="AM887" s="2"/>
      <c r="AN887" s="2"/>
      <c r="AO887" s="2"/>
    </row>
    <row r="888" spans="1:41" ht="13.5">
      <c r="A888" s="2"/>
      <c r="B888" s="2"/>
      <c r="C888" s="2"/>
      <c r="D888" s="2"/>
      <c r="E888" s="2"/>
      <c r="F888" s="2"/>
      <c r="G888" s="2"/>
      <c r="H888" s="40"/>
      <c r="I888" s="2"/>
      <c r="J888" s="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2"/>
      <c r="AJ888" s="2"/>
      <c r="AK888" s="2"/>
      <c r="AL888" s="2"/>
      <c r="AM888" s="2"/>
      <c r="AN888" s="2"/>
      <c r="AO888" s="2"/>
    </row>
    <row r="889" spans="1:41" ht="13.5">
      <c r="A889" s="2"/>
      <c r="B889" s="2"/>
      <c r="C889" s="2"/>
      <c r="D889" s="2"/>
      <c r="E889" s="2"/>
      <c r="F889" s="2"/>
      <c r="G889" s="2"/>
      <c r="H889" s="40"/>
      <c r="I889" s="2"/>
      <c r="J889" s="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2"/>
      <c r="AJ889" s="2"/>
      <c r="AK889" s="2"/>
      <c r="AL889" s="2"/>
      <c r="AM889" s="2"/>
      <c r="AN889" s="2"/>
      <c r="AO889" s="2"/>
    </row>
    <row r="890" spans="1:41" ht="13.5">
      <c r="A890" s="2"/>
      <c r="B890" s="2"/>
      <c r="C890" s="2"/>
      <c r="D890" s="2"/>
      <c r="E890" s="2"/>
      <c r="F890" s="2"/>
      <c r="G890" s="2"/>
      <c r="H890" s="40"/>
      <c r="I890" s="2"/>
      <c r="J890" s="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2"/>
      <c r="AJ890" s="2"/>
      <c r="AK890" s="2"/>
      <c r="AL890" s="2"/>
      <c r="AM890" s="2"/>
      <c r="AN890" s="2"/>
      <c r="AO890" s="2"/>
    </row>
    <row r="891" spans="1:41" ht="13.5">
      <c r="A891" s="2"/>
      <c r="B891" s="2"/>
      <c r="C891" s="2"/>
      <c r="D891" s="2"/>
      <c r="E891" s="2"/>
      <c r="F891" s="2"/>
      <c r="G891" s="2"/>
      <c r="H891" s="40"/>
      <c r="I891" s="2"/>
      <c r="J891" s="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2"/>
      <c r="AJ891" s="2"/>
      <c r="AK891" s="2"/>
      <c r="AL891" s="2"/>
      <c r="AM891" s="2"/>
      <c r="AN891" s="2"/>
      <c r="AO891" s="2"/>
    </row>
    <row r="892" spans="1:41" ht="13.5">
      <c r="A892" s="2"/>
      <c r="B892" s="2"/>
      <c r="C892" s="2"/>
      <c r="D892" s="2"/>
      <c r="E892" s="2"/>
      <c r="F892" s="2"/>
      <c r="G892" s="2"/>
      <c r="H892" s="40"/>
      <c r="I892" s="2"/>
      <c r="J892" s="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2"/>
      <c r="AJ892" s="2"/>
      <c r="AK892" s="2"/>
      <c r="AL892" s="2"/>
      <c r="AM892" s="2"/>
      <c r="AN892" s="2"/>
      <c r="AO892" s="2"/>
    </row>
    <row r="893" spans="1:41" ht="13.5">
      <c r="A893" s="2"/>
      <c r="B893" s="2"/>
      <c r="C893" s="2"/>
      <c r="D893" s="2"/>
      <c r="E893" s="2"/>
      <c r="F893" s="2"/>
      <c r="G893" s="2"/>
      <c r="H893" s="40"/>
      <c r="I893" s="2"/>
      <c r="J893" s="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2"/>
      <c r="AJ893" s="2"/>
      <c r="AK893" s="2"/>
      <c r="AL893" s="2"/>
      <c r="AM893" s="2"/>
      <c r="AN893" s="2"/>
      <c r="AO893" s="2"/>
    </row>
    <row r="894" spans="1:41" ht="13.5">
      <c r="A894" s="2"/>
      <c r="B894" s="2"/>
      <c r="C894" s="2"/>
      <c r="D894" s="2"/>
      <c r="E894" s="2"/>
      <c r="F894" s="2"/>
      <c r="G894" s="2"/>
      <c r="H894" s="40"/>
      <c r="I894" s="2"/>
      <c r="J894" s="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2"/>
      <c r="AJ894" s="2"/>
      <c r="AK894" s="2"/>
      <c r="AL894" s="2"/>
      <c r="AM894" s="2"/>
      <c r="AN894" s="2"/>
      <c r="AO894" s="2"/>
    </row>
    <row r="895" spans="1:41" ht="13.5">
      <c r="A895" s="2"/>
      <c r="B895" s="2"/>
      <c r="C895" s="2"/>
      <c r="D895" s="2"/>
      <c r="E895" s="2"/>
      <c r="F895" s="2"/>
      <c r="G895" s="2"/>
      <c r="H895" s="40"/>
      <c r="I895" s="2"/>
      <c r="J895" s="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2"/>
      <c r="AJ895" s="2"/>
      <c r="AK895" s="2"/>
      <c r="AL895" s="2"/>
      <c r="AM895" s="2"/>
      <c r="AN895" s="2"/>
      <c r="AO895" s="2"/>
    </row>
    <row r="896" spans="1:41" ht="13.5">
      <c r="A896" s="2"/>
      <c r="B896" s="2"/>
      <c r="C896" s="2"/>
      <c r="D896" s="2"/>
      <c r="E896" s="2"/>
      <c r="F896" s="2"/>
      <c r="G896" s="2"/>
      <c r="H896" s="40"/>
      <c r="I896" s="2"/>
      <c r="J896" s="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2"/>
      <c r="AJ896" s="2"/>
      <c r="AK896" s="2"/>
      <c r="AL896" s="2"/>
      <c r="AM896" s="2"/>
      <c r="AN896" s="2"/>
      <c r="AO896" s="2"/>
    </row>
    <row r="897" spans="1:41" ht="13.5">
      <c r="A897" s="2"/>
      <c r="B897" s="2"/>
      <c r="C897" s="2"/>
      <c r="D897" s="2"/>
      <c r="E897" s="2"/>
      <c r="F897" s="2"/>
      <c r="G897" s="2"/>
      <c r="H897" s="40"/>
      <c r="I897" s="2"/>
      <c r="J897" s="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2"/>
      <c r="AJ897" s="2"/>
      <c r="AK897" s="2"/>
      <c r="AL897" s="2"/>
      <c r="AM897" s="2"/>
      <c r="AN897" s="2"/>
      <c r="AO897" s="2"/>
    </row>
    <row r="898" spans="1:41" ht="13.5">
      <c r="A898" s="2"/>
      <c r="B898" s="2"/>
      <c r="C898" s="2"/>
      <c r="D898" s="2"/>
      <c r="E898" s="2"/>
      <c r="F898" s="2"/>
      <c r="G898" s="2"/>
      <c r="H898" s="40"/>
      <c r="I898" s="2"/>
      <c r="J898" s="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2"/>
      <c r="AJ898" s="2"/>
      <c r="AK898" s="2"/>
      <c r="AL898" s="2"/>
      <c r="AM898" s="2"/>
      <c r="AN898" s="2"/>
      <c r="AO898" s="2"/>
    </row>
    <row r="899" spans="1:41" ht="13.5">
      <c r="A899" s="2"/>
      <c r="B899" s="2"/>
      <c r="C899" s="2"/>
      <c r="D899" s="2"/>
      <c r="E899" s="2"/>
      <c r="F899" s="2"/>
      <c r="G899" s="2"/>
      <c r="H899" s="40"/>
      <c r="I899" s="2"/>
      <c r="J899" s="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2"/>
      <c r="AJ899" s="2"/>
      <c r="AK899" s="2"/>
      <c r="AL899" s="2"/>
      <c r="AM899" s="2"/>
      <c r="AN899" s="2"/>
      <c r="AO899" s="2"/>
    </row>
    <row r="900" spans="1:41" ht="13.5">
      <c r="A900" s="2"/>
      <c r="B900" s="2"/>
      <c r="C900" s="2"/>
      <c r="D900" s="2"/>
      <c r="E900" s="2"/>
      <c r="F900" s="2"/>
      <c r="G900" s="2"/>
      <c r="H900" s="40"/>
      <c r="I900" s="2"/>
      <c r="J900" s="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2"/>
      <c r="AJ900" s="2"/>
      <c r="AK900" s="2"/>
      <c r="AL900" s="2"/>
      <c r="AM900" s="2"/>
      <c r="AN900" s="2"/>
      <c r="AO900" s="2"/>
    </row>
    <row r="901" spans="1:41" ht="13.5">
      <c r="A901" s="2"/>
      <c r="B901" s="2"/>
      <c r="C901" s="2"/>
      <c r="D901" s="2"/>
      <c r="E901" s="2"/>
      <c r="F901" s="2"/>
      <c r="G901" s="2"/>
      <c r="H901" s="40"/>
      <c r="I901" s="2"/>
      <c r="J901" s="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2"/>
      <c r="AJ901" s="2"/>
      <c r="AK901" s="2"/>
      <c r="AL901" s="2"/>
      <c r="AM901" s="2"/>
      <c r="AN901" s="2"/>
      <c r="AO901" s="2"/>
    </row>
    <row r="902" spans="1:41" ht="13.5">
      <c r="A902" s="2"/>
      <c r="B902" s="2"/>
      <c r="C902" s="2"/>
      <c r="D902" s="2"/>
      <c r="E902" s="2"/>
      <c r="F902" s="2"/>
      <c r="G902" s="2"/>
      <c r="H902" s="40"/>
      <c r="I902" s="2"/>
      <c r="J902" s="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2"/>
      <c r="AJ902" s="2"/>
      <c r="AK902" s="2"/>
      <c r="AL902" s="2"/>
      <c r="AM902" s="2"/>
      <c r="AN902" s="2"/>
      <c r="AO902" s="2"/>
    </row>
    <row r="903" spans="1:41" ht="13.5">
      <c r="A903" s="2"/>
      <c r="B903" s="2"/>
      <c r="C903" s="2"/>
      <c r="D903" s="2"/>
      <c r="E903" s="2"/>
      <c r="F903" s="2"/>
      <c r="G903" s="2"/>
      <c r="H903" s="40"/>
      <c r="I903" s="2"/>
      <c r="J903" s="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2"/>
      <c r="AJ903" s="2"/>
      <c r="AK903" s="2"/>
      <c r="AL903" s="2"/>
      <c r="AM903" s="2"/>
      <c r="AN903" s="2"/>
      <c r="AO903" s="2"/>
    </row>
    <row r="904" spans="1:41" ht="13.5">
      <c r="A904" s="2"/>
      <c r="B904" s="2"/>
      <c r="C904" s="2"/>
      <c r="D904" s="2"/>
      <c r="E904" s="2"/>
      <c r="F904" s="2"/>
      <c r="G904" s="2"/>
      <c r="H904" s="40"/>
      <c r="I904" s="2"/>
      <c r="J904" s="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2"/>
      <c r="AJ904" s="2"/>
      <c r="AK904" s="2"/>
      <c r="AL904" s="2"/>
      <c r="AM904" s="2"/>
      <c r="AN904" s="2"/>
      <c r="AO904" s="2"/>
    </row>
    <row r="905" spans="1:41" ht="13.5">
      <c r="A905" s="2"/>
      <c r="B905" s="2"/>
      <c r="C905" s="2"/>
      <c r="D905" s="2"/>
      <c r="E905" s="2"/>
      <c r="F905" s="2"/>
      <c r="G905" s="2"/>
      <c r="H905" s="40"/>
      <c r="I905" s="2"/>
      <c r="J905" s="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2"/>
      <c r="AJ905" s="2"/>
      <c r="AK905" s="2"/>
      <c r="AL905" s="2"/>
      <c r="AM905" s="2"/>
      <c r="AN905" s="2"/>
      <c r="AO905" s="2"/>
    </row>
    <row r="906" spans="1:41" ht="13.5">
      <c r="A906" s="2"/>
      <c r="B906" s="2"/>
      <c r="C906" s="2"/>
      <c r="D906" s="2"/>
      <c r="E906" s="2"/>
      <c r="F906" s="2"/>
      <c r="G906" s="2"/>
      <c r="H906" s="40"/>
      <c r="I906" s="2"/>
      <c r="J906" s="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2"/>
      <c r="AJ906" s="2"/>
      <c r="AK906" s="2"/>
      <c r="AL906" s="2"/>
      <c r="AM906" s="2"/>
      <c r="AN906" s="2"/>
      <c r="AO906" s="2"/>
    </row>
    <row r="907" spans="1:41" ht="13.5">
      <c r="A907" s="2"/>
      <c r="B907" s="2"/>
      <c r="C907" s="2"/>
      <c r="D907" s="2"/>
      <c r="E907" s="2"/>
      <c r="F907" s="2"/>
      <c r="G907" s="2"/>
      <c r="H907" s="40"/>
      <c r="I907" s="2"/>
      <c r="J907" s="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2"/>
      <c r="AJ907" s="2"/>
      <c r="AK907" s="2"/>
      <c r="AL907" s="2"/>
      <c r="AM907" s="2"/>
      <c r="AN907" s="2"/>
      <c r="AO907" s="2"/>
    </row>
    <row r="908" spans="1:41" ht="13.5">
      <c r="A908" s="2"/>
      <c r="B908" s="2"/>
      <c r="C908" s="2"/>
      <c r="D908" s="2"/>
      <c r="E908" s="2"/>
      <c r="F908" s="2"/>
      <c r="G908" s="2"/>
      <c r="H908" s="40"/>
      <c r="I908" s="2"/>
      <c r="J908" s="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2"/>
      <c r="AJ908" s="2"/>
      <c r="AK908" s="2"/>
      <c r="AL908" s="2"/>
      <c r="AM908" s="2"/>
      <c r="AN908" s="2"/>
      <c r="AO908" s="2"/>
    </row>
    <row r="909" spans="1:41" ht="13.5">
      <c r="A909" s="2"/>
      <c r="B909" s="2"/>
      <c r="C909" s="2"/>
      <c r="D909" s="2"/>
      <c r="E909" s="2"/>
      <c r="F909" s="2"/>
      <c r="G909" s="2"/>
      <c r="H909" s="40"/>
      <c r="I909" s="2"/>
      <c r="J909" s="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2"/>
      <c r="AJ909" s="2"/>
      <c r="AK909" s="2"/>
      <c r="AL909" s="2"/>
      <c r="AM909" s="2"/>
      <c r="AN909" s="2"/>
      <c r="AO909" s="2"/>
    </row>
    <row r="910" spans="1:41" ht="13.5">
      <c r="A910" s="2"/>
      <c r="B910" s="2"/>
      <c r="C910" s="2"/>
      <c r="D910" s="2"/>
      <c r="E910" s="2"/>
      <c r="F910" s="2"/>
      <c r="G910" s="2"/>
      <c r="H910" s="40"/>
      <c r="I910" s="2"/>
      <c r="J910" s="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2"/>
      <c r="AJ910" s="2"/>
      <c r="AK910" s="2"/>
      <c r="AL910" s="2"/>
      <c r="AM910" s="2"/>
      <c r="AN910" s="2"/>
      <c r="AO910" s="2"/>
    </row>
    <row r="911" spans="1:41" ht="13.5">
      <c r="A911" s="2"/>
      <c r="B911" s="2"/>
      <c r="C911" s="2"/>
      <c r="D911" s="2"/>
      <c r="E911" s="2"/>
      <c r="F911" s="2"/>
      <c r="G911" s="2"/>
      <c r="H911" s="40"/>
      <c r="I911" s="2"/>
      <c r="J911" s="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2"/>
      <c r="AJ911" s="2"/>
      <c r="AK911" s="2"/>
      <c r="AL911" s="2"/>
      <c r="AM911" s="2"/>
      <c r="AN911" s="2"/>
      <c r="AO911" s="2"/>
    </row>
    <row r="912" spans="1:41" ht="13.5">
      <c r="A912" s="2"/>
      <c r="B912" s="2"/>
      <c r="C912" s="2"/>
      <c r="D912" s="2"/>
      <c r="E912" s="2"/>
      <c r="F912" s="2"/>
      <c r="G912" s="2"/>
      <c r="H912" s="40"/>
      <c r="I912" s="2"/>
      <c r="J912" s="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2"/>
      <c r="AJ912" s="2"/>
      <c r="AK912" s="2"/>
      <c r="AL912" s="2"/>
      <c r="AM912" s="2"/>
      <c r="AN912" s="2"/>
      <c r="AO912" s="2"/>
    </row>
    <row r="913" spans="1:41" ht="13.5">
      <c r="A913" s="2"/>
      <c r="B913" s="2"/>
      <c r="C913" s="2"/>
      <c r="D913" s="2"/>
      <c r="E913" s="2"/>
      <c r="F913" s="2"/>
      <c r="G913" s="2"/>
      <c r="H913" s="40"/>
      <c r="I913" s="2"/>
      <c r="J913" s="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2"/>
      <c r="AJ913" s="2"/>
      <c r="AK913" s="2"/>
      <c r="AL913" s="2"/>
      <c r="AM913" s="2"/>
      <c r="AN913" s="2"/>
      <c r="AO913" s="2"/>
    </row>
    <row r="914" spans="1:41" ht="13.5">
      <c r="A914" s="2"/>
      <c r="B914" s="2"/>
      <c r="C914" s="2"/>
      <c r="D914" s="2"/>
      <c r="E914" s="2"/>
      <c r="F914" s="2"/>
      <c r="G914" s="2"/>
      <c r="H914" s="40"/>
      <c r="I914" s="2"/>
      <c r="J914" s="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2"/>
      <c r="AJ914" s="2"/>
      <c r="AK914" s="2"/>
      <c r="AL914" s="2"/>
      <c r="AM914" s="2"/>
      <c r="AN914" s="2"/>
      <c r="AO914" s="2"/>
    </row>
    <row r="915" spans="1:41" ht="13.5">
      <c r="A915" s="2"/>
      <c r="B915" s="2"/>
      <c r="C915" s="2"/>
      <c r="D915" s="2"/>
      <c r="E915" s="2"/>
      <c r="F915" s="2"/>
      <c r="G915" s="2"/>
      <c r="H915" s="40"/>
      <c r="I915" s="2"/>
      <c r="J915" s="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2"/>
      <c r="AJ915" s="2"/>
      <c r="AK915" s="2"/>
      <c r="AL915" s="2"/>
      <c r="AM915" s="2"/>
      <c r="AN915" s="2"/>
      <c r="AO915" s="2"/>
    </row>
    <row r="916" spans="1:41" ht="13.5">
      <c r="A916" s="2"/>
      <c r="B916" s="2"/>
      <c r="C916" s="2"/>
      <c r="D916" s="2"/>
      <c r="E916" s="2"/>
      <c r="F916" s="2"/>
      <c r="G916" s="2"/>
      <c r="H916" s="40"/>
      <c r="I916" s="2"/>
      <c r="J916" s="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2"/>
      <c r="AJ916" s="2"/>
      <c r="AK916" s="2"/>
      <c r="AL916" s="2"/>
      <c r="AM916" s="2"/>
      <c r="AN916" s="2"/>
      <c r="AO916" s="2"/>
    </row>
    <row r="917" spans="1:41" ht="13.5">
      <c r="A917" s="2"/>
      <c r="B917" s="2"/>
      <c r="C917" s="2"/>
      <c r="D917" s="2"/>
      <c r="E917" s="2"/>
      <c r="F917" s="2"/>
      <c r="G917" s="2"/>
      <c r="H917" s="40"/>
      <c r="I917" s="2"/>
      <c r="J917" s="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2"/>
      <c r="AJ917" s="2"/>
      <c r="AK917" s="2"/>
      <c r="AL917" s="2"/>
      <c r="AM917" s="2"/>
      <c r="AN917" s="2"/>
      <c r="AO917" s="2"/>
    </row>
    <row r="918" spans="1:41" ht="13.5">
      <c r="A918" s="2"/>
      <c r="B918" s="2"/>
      <c r="C918" s="2"/>
      <c r="D918" s="2"/>
      <c r="E918" s="2"/>
      <c r="F918" s="2"/>
      <c r="G918" s="2"/>
      <c r="H918" s="40"/>
      <c r="I918" s="2"/>
      <c r="J918" s="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2"/>
      <c r="AJ918" s="2"/>
      <c r="AK918" s="2"/>
      <c r="AL918" s="2"/>
      <c r="AM918" s="2"/>
      <c r="AN918" s="2"/>
      <c r="AO918" s="2"/>
    </row>
    <row r="919" spans="1:41" ht="13.5">
      <c r="A919" s="2"/>
      <c r="B919" s="2"/>
      <c r="C919" s="2"/>
      <c r="D919" s="2"/>
      <c r="E919" s="2"/>
      <c r="F919" s="2"/>
      <c r="G919" s="2"/>
      <c r="H919" s="40"/>
      <c r="I919" s="2"/>
      <c r="J919" s="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2"/>
      <c r="AJ919" s="2"/>
      <c r="AK919" s="2"/>
      <c r="AL919" s="2"/>
      <c r="AM919" s="2"/>
      <c r="AN919" s="2"/>
      <c r="AO919" s="2"/>
    </row>
    <row r="920" spans="1:41" ht="13.5">
      <c r="A920" s="2"/>
      <c r="B920" s="2"/>
      <c r="C920" s="2"/>
      <c r="D920" s="2"/>
      <c r="E920" s="2"/>
      <c r="F920" s="2"/>
      <c r="G920" s="2"/>
      <c r="H920" s="40"/>
      <c r="I920" s="2"/>
      <c r="J920" s="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2"/>
      <c r="AJ920" s="2"/>
      <c r="AK920" s="2"/>
      <c r="AL920" s="2"/>
      <c r="AM920" s="2"/>
      <c r="AN920" s="2"/>
      <c r="AO920" s="2"/>
    </row>
    <row r="921" spans="1:41" ht="13.5">
      <c r="A921" s="2"/>
      <c r="B921" s="2"/>
      <c r="C921" s="2"/>
      <c r="D921" s="2"/>
      <c r="E921" s="2"/>
      <c r="F921" s="2"/>
      <c r="G921" s="2"/>
      <c r="H921" s="40"/>
      <c r="I921" s="2"/>
      <c r="J921" s="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2"/>
      <c r="AJ921" s="2"/>
      <c r="AK921" s="2"/>
      <c r="AL921" s="2"/>
      <c r="AM921" s="2"/>
      <c r="AN921" s="2"/>
      <c r="AO921" s="2"/>
    </row>
    <row r="922" spans="1:41" ht="13.5">
      <c r="A922" s="2"/>
      <c r="B922" s="2"/>
      <c r="C922" s="2"/>
      <c r="D922" s="2"/>
      <c r="E922" s="2"/>
      <c r="F922" s="2"/>
      <c r="G922" s="2"/>
      <c r="H922" s="40"/>
      <c r="I922" s="2"/>
      <c r="J922" s="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2"/>
      <c r="AJ922" s="2"/>
      <c r="AK922" s="2"/>
      <c r="AL922" s="2"/>
      <c r="AM922" s="2"/>
      <c r="AN922" s="2"/>
      <c r="AO922" s="2"/>
    </row>
    <row r="923" spans="1:41" ht="13.5">
      <c r="A923" s="2"/>
      <c r="B923" s="2"/>
      <c r="C923" s="2"/>
      <c r="D923" s="2"/>
      <c r="E923" s="2"/>
      <c r="F923" s="2"/>
      <c r="G923" s="2"/>
      <c r="H923" s="40"/>
      <c r="I923" s="2"/>
      <c r="J923" s="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2"/>
      <c r="AJ923" s="2"/>
      <c r="AK923" s="2"/>
      <c r="AL923" s="2"/>
      <c r="AM923" s="2"/>
      <c r="AN923" s="2"/>
      <c r="AO923" s="2"/>
    </row>
    <row r="924" spans="1:41" ht="13.5">
      <c r="A924" s="2"/>
      <c r="B924" s="2"/>
      <c r="C924" s="2"/>
      <c r="D924" s="2"/>
      <c r="E924" s="2"/>
      <c r="F924" s="2"/>
      <c r="G924" s="2"/>
      <c r="H924" s="40"/>
      <c r="I924" s="2"/>
      <c r="J924" s="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2"/>
      <c r="AJ924" s="2"/>
      <c r="AK924" s="2"/>
      <c r="AL924" s="2"/>
      <c r="AM924" s="2"/>
      <c r="AN924" s="2"/>
      <c r="AO924" s="2"/>
    </row>
    <row r="925" spans="1:41" ht="13.5">
      <c r="A925" s="2"/>
      <c r="B925" s="2"/>
      <c r="C925" s="2"/>
      <c r="D925" s="2"/>
      <c r="E925" s="2"/>
      <c r="F925" s="2"/>
      <c r="G925" s="2"/>
      <c r="H925" s="40"/>
      <c r="I925" s="2"/>
      <c r="J925" s="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2"/>
      <c r="AJ925" s="2"/>
      <c r="AK925" s="2"/>
      <c r="AL925" s="2"/>
      <c r="AM925" s="2"/>
      <c r="AN925" s="2"/>
      <c r="AO925" s="2"/>
    </row>
    <row r="926" spans="1:41" ht="13.5">
      <c r="A926" s="2"/>
      <c r="B926" s="2"/>
      <c r="C926" s="2"/>
      <c r="D926" s="2"/>
      <c r="E926" s="2"/>
      <c r="F926" s="2"/>
      <c r="G926" s="2"/>
      <c r="H926" s="40"/>
      <c r="I926" s="2"/>
      <c r="J926" s="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2"/>
      <c r="AJ926" s="2"/>
      <c r="AK926" s="2"/>
      <c r="AL926" s="2"/>
      <c r="AM926" s="2"/>
      <c r="AN926" s="2"/>
      <c r="AO926" s="2"/>
    </row>
    <row r="927" spans="1:41" ht="13.5">
      <c r="A927" s="2"/>
      <c r="B927" s="2"/>
      <c r="C927" s="2"/>
      <c r="D927" s="2"/>
      <c r="E927" s="2"/>
      <c r="F927" s="2"/>
      <c r="G927" s="2"/>
      <c r="H927" s="40"/>
      <c r="I927" s="2"/>
      <c r="J927" s="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2"/>
      <c r="AJ927" s="2"/>
      <c r="AK927" s="2"/>
      <c r="AL927" s="2"/>
      <c r="AM927" s="2"/>
      <c r="AN927" s="2"/>
      <c r="AO927" s="2"/>
    </row>
    <row r="928" spans="1:41" ht="13.5">
      <c r="A928" s="2"/>
      <c r="B928" s="2"/>
      <c r="C928" s="2"/>
      <c r="D928" s="2"/>
      <c r="E928" s="2"/>
      <c r="F928" s="2"/>
      <c r="G928" s="2"/>
      <c r="H928" s="40"/>
      <c r="I928" s="2"/>
      <c r="J928" s="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2"/>
      <c r="AJ928" s="2"/>
      <c r="AK928" s="2"/>
      <c r="AL928" s="2"/>
      <c r="AM928" s="2"/>
      <c r="AN928" s="2"/>
      <c r="AO928" s="2"/>
    </row>
    <row r="929" spans="1:41" ht="13.5">
      <c r="A929" s="2"/>
      <c r="B929" s="2"/>
      <c r="C929" s="2"/>
      <c r="D929" s="2"/>
      <c r="E929" s="2"/>
      <c r="F929" s="2"/>
      <c r="G929" s="2"/>
      <c r="H929" s="40"/>
      <c r="I929" s="2"/>
      <c r="J929" s="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2"/>
      <c r="AJ929" s="2"/>
      <c r="AK929" s="2"/>
      <c r="AL929" s="2"/>
      <c r="AM929" s="2"/>
      <c r="AN929" s="2"/>
      <c r="AO929" s="2"/>
    </row>
    <row r="930" spans="1:41" ht="13.5">
      <c r="A930" s="2"/>
      <c r="B930" s="2"/>
      <c r="C930" s="2"/>
      <c r="D930" s="2"/>
      <c r="E930" s="2"/>
      <c r="F930" s="2"/>
      <c r="G930" s="2"/>
      <c r="H930" s="40"/>
      <c r="I930" s="2"/>
      <c r="J930" s="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2"/>
      <c r="AJ930" s="2"/>
      <c r="AK930" s="2"/>
      <c r="AL930" s="2"/>
      <c r="AM930" s="2"/>
      <c r="AN930" s="2"/>
      <c r="AO930" s="2"/>
    </row>
    <row r="931" spans="1:41" ht="13.5">
      <c r="A931" s="2"/>
      <c r="B931" s="2"/>
      <c r="C931" s="2"/>
      <c r="D931" s="2"/>
      <c r="E931" s="2"/>
      <c r="F931" s="2"/>
      <c r="G931" s="2"/>
      <c r="H931" s="40"/>
      <c r="I931" s="2"/>
      <c r="J931" s="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2"/>
      <c r="AJ931" s="2"/>
      <c r="AK931" s="2"/>
      <c r="AL931" s="2"/>
      <c r="AM931" s="2"/>
      <c r="AN931" s="2"/>
      <c r="AO931" s="2"/>
    </row>
    <row r="932" spans="1:41" ht="13.5">
      <c r="A932" s="2"/>
      <c r="B932" s="2"/>
      <c r="C932" s="2"/>
      <c r="D932" s="2"/>
      <c r="E932" s="2"/>
      <c r="F932" s="2"/>
      <c r="G932" s="2"/>
      <c r="H932" s="40"/>
      <c r="I932" s="2"/>
      <c r="J932" s="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2"/>
      <c r="AJ932" s="2"/>
      <c r="AK932" s="2"/>
      <c r="AL932" s="2"/>
      <c r="AM932" s="2"/>
      <c r="AN932" s="2"/>
      <c r="AO932" s="2"/>
    </row>
    <row r="933" spans="1:41" ht="13.5">
      <c r="A933" s="2"/>
      <c r="B933" s="2"/>
      <c r="C933" s="2"/>
      <c r="D933" s="2"/>
      <c r="E933" s="2"/>
      <c r="F933" s="2"/>
      <c r="G933" s="2"/>
      <c r="H933" s="40"/>
      <c r="I933" s="2"/>
      <c r="J933" s="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2"/>
      <c r="AJ933" s="2"/>
      <c r="AK933" s="2"/>
      <c r="AL933" s="2"/>
      <c r="AM933" s="2"/>
      <c r="AN933" s="2"/>
      <c r="AO933" s="2"/>
    </row>
    <row r="934" spans="1:41" ht="13.5">
      <c r="A934" s="2"/>
      <c r="B934" s="2"/>
      <c r="C934" s="2"/>
      <c r="D934" s="2"/>
      <c r="E934" s="2"/>
      <c r="F934" s="2"/>
      <c r="G934" s="2"/>
      <c r="H934" s="40"/>
      <c r="I934" s="2"/>
      <c r="J934" s="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2"/>
      <c r="AJ934" s="2"/>
      <c r="AK934" s="2"/>
      <c r="AL934" s="2"/>
      <c r="AM934" s="2"/>
      <c r="AN934" s="2"/>
      <c r="AO934" s="2"/>
    </row>
    <row r="935" spans="1:41" ht="13.5">
      <c r="A935" s="2"/>
      <c r="B935" s="2"/>
      <c r="C935" s="2"/>
      <c r="D935" s="2"/>
      <c r="E935" s="2"/>
      <c r="F935" s="2"/>
      <c r="G935" s="2"/>
      <c r="H935" s="40"/>
      <c r="I935" s="2"/>
      <c r="J935" s="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2"/>
      <c r="AJ935" s="2"/>
      <c r="AK935" s="2"/>
      <c r="AL935" s="2"/>
      <c r="AM935" s="2"/>
      <c r="AN935" s="2"/>
      <c r="AO935" s="2"/>
    </row>
    <row r="936" spans="1:41" ht="13.5">
      <c r="A936" s="2"/>
      <c r="B936" s="2"/>
      <c r="C936" s="2"/>
      <c r="D936" s="2"/>
      <c r="E936" s="2"/>
      <c r="F936" s="2"/>
      <c r="G936" s="2"/>
      <c r="H936" s="40"/>
      <c r="I936" s="2"/>
      <c r="J936" s="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2"/>
      <c r="AJ936" s="2"/>
      <c r="AK936" s="2"/>
      <c r="AL936" s="2"/>
      <c r="AM936" s="2"/>
      <c r="AN936" s="2"/>
      <c r="AO936" s="2"/>
    </row>
    <row r="937" spans="1:41" ht="13.5">
      <c r="A937" s="2"/>
      <c r="B937" s="2"/>
      <c r="C937" s="2"/>
      <c r="D937" s="2"/>
      <c r="E937" s="2"/>
      <c r="F937" s="2"/>
      <c r="G937" s="2"/>
      <c r="H937" s="40"/>
      <c r="I937" s="2"/>
      <c r="J937" s="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2"/>
      <c r="AJ937" s="2"/>
      <c r="AK937" s="2"/>
      <c r="AL937" s="2"/>
      <c r="AM937" s="2"/>
      <c r="AN937" s="2"/>
      <c r="AO937" s="2"/>
    </row>
    <row r="938" spans="1:41" ht="13.5">
      <c r="A938" s="2"/>
      <c r="B938" s="2"/>
      <c r="C938" s="2"/>
      <c r="D938" s="2"/>
      <c r="E938" s="2"/>
      <c r="F938" s="2"/>
      <c r="G938" s="2"/>
      <c r="H938" s="40"/>
      <c r="I938" s="2"/>
      <c r="J938" s="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2"/>
      <c r="AJ938" s="2"/>
      <c r="AK938" s="2"/>
      <c r="AL938" s="2"/>
      <c r="AM938" s="2"/>
      <c r="AN938" s="2"/>
      <c r="AO938" s="2"/>
    </row>
    <row r="939" spans="1:41" ht="13.5">
      <c r="A939" s="2"/>
      <c r="B939" s="2"/>
      <c r="C939" s="2"/>
      <c r="D939" s="2"/>
      <c r="E939" s="2"/>
      <c r="F939" s="2"/>
      <c r="G939" s="2"/>
      <c r="H939" s="40"/>
      <c r="I939" s="2"/>
      <c r="J939" s="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2"/>
      <c r="AJ939" s="2"/>
      <c r="AK939" s="2"/>
      <c r="AL939" s="2"/>
      <c r="AM939" s="2"/>
      <c r="AN939" s="2"/>
      <c r="AO939" s="2"/>
    </row>
    <row r="940" spans="1:41" ht="13.5">
      <c r="A940" s="2"/>
      <c r="B940" s="2"/>
      <c r="C940" s="2"/>
      <c r="D940" s="2"/>
      <c r="E940" s="2"/>
      <c r="F940" s="2"/>
      <c r="G940" s="2"/>
      <c r="H940" s="40"/>
      <c r="I940" s="2"/>
      <c r="J940" s="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2"/>
      <c r="AJ940" s="2"/>
      <c r="AK940" s="2"/>
      <c r="AL940" s="2"/>
      <c r="AM940" s="2"/>
      <c r="AN940" s="2"/>
      <c r="AO940" s="2"/>
    </row>
    <row r="941" spans="1:41" ht="13.5">
      <c r="A941" s="2"/>
      <c r="B941" s="2"/>
      <c r="C941" s="2"/>
      <c r="D941" s="2"/>
      <c r="E941" s="2"/>
      <c r="F941" s="2"/>
      <c r="G941" s="2"/>
      <c r="H941" s="40"/>
      <c r="I941" s="2"/>
      <c r="J941" s="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2"/>
      <c r="AJ941" s="2"/>
      <c r="AK941" s="2"/>
      <c r="AL941" s="2"/>
      <c r="AM941" s="2"/>
      <c r="AN941" s="2"/>
      <c r="AO941" s="2"/>
    </row>
    <row r="942" spans="1:41" ht="13.5">
      <c r="A942" s="2"/>
      <c r="B942" s="2"/>
      <c r="C942" s="2"/>
      <c r="D942" s="2"/>
      <c r="E942" s="2"/>
      <c r="F942" s="2"/>
      <c r="G942" s="2"/>
      <c r="H942" s="40"/>
      <c r="I942" s="2"/>
      <c r="J942" s="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2"/>
      <c r="AJ942" s="2"/>
      <c r="AK942" s="2"/>
      <c r="AL942" s="2"/>
      <c r="AM942" s="2"/>
      <c r="AN942" s="2"/>
      <c r="AO942" s="2"/>
    </row>
    <row r="943" spans="1:41" ht="13.5">
      <c r="A943" s="2"/>
      <c r="B943" s="2"/>
      <c r="C943" s="2"/>
      <c r="D943" s="2"/>
      <c r="E943" s="2"/>
      <c r="F943" s="2"/>
      <c r="G943" s="2"/>
      <c r="H943" s="40"/>
      <c r="I943" s="2"/>
      <c r="J943" s="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2"/>
      <c r="AJ943" s="2"/>
      <c r="AK943" s="2"/>
      <c r="AL943" s="2"/>
      <c r="AM943" s="2"/>
      <c r="AN943" s="2"/>
      <c r="AO943" s="2"/>
    </row>
    <row r="944" spans="1:41" ht="13.5">
      <c r="A944" s="2"/>
      <c r="B944" s="2"/>
      <c r="C944" s="2"/>
      <c r="D944" s="2"/>
      <c r="E944" s="2"/>
      <c r="F944" s="2"/>
      <c r="G944" s="2"/>
      <c r="H944" s="40"/>
      <c r="I944" s="2"/>
      <c r="J944" s="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2"/>
      <c r="AJ944" s="2"/>
      <c r="AK944" s="2"/>
      <c r="AL944" s="2"/>
      <c r="AM944" s="2"/>
      <c r="AN944" s="2"/>
      <c r="AO944" s="2"/>
    </row>
    <row r="945" spans="1:41" ht="13.5">
      <c r="A945" s="2"/>
      <c r="B945" s="2"/>
      <c r="C945" s="2"/>
      <c r="D945" s="2"/>
      <c r="E945" s="2"/>
      <c r="F945" s="2"/>
      <c r="G945" s="2"/>
      <c r="H945" s="40"/>
      <c r="I945" s="2"/>
      <c r="J945" s="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2"/>
      <c r="AJ945" s="2"/>
      <c r="AK945" s="2"/>
      <c r="AL945" s="2"/>
      <c r="AM945" s="2"/>
      <c r="AN945" s="2"/>
      <c r="AO945" s="2"/>
    </row>
    <row r="946" spans="1:41" ht="13.5">
      <c r="A946" s="2"/>
      <c r="B946" s="2"/>
      <c r="C946" s="2"/>
      <c r="D946" s="2"/>
      <c r="E946" s="2"/>
      <c r="F946" s="2"/>
      <c r="G946" s="2"/>
      <c r="H946" s="40"/>
      <c r="I946" s="2"/>
      <c r="J946" s="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2"/>
      <c r="AJ946" s="2"/>
      <c r="AK946" s="2"/>
      <c r="AL946" s="2"/>
      <c r="AM946" s="2"/>
      <c r="AN946" s="2"/>
      <c r="AO946" s="2"/>
    </row>
    <row r="947" spans="1:41" ht="13.5">
      <c r="A947" s="2"/>
      <c r="B947" s="2"/>
      <c r="C947" s="2"/>
      <c r="D947" s="2"/>
      <c r="E947" s="2"/>
      <c r="F947" s="2"/>
      <c r="G947" s="2"/>
      <c r="H947" s="40"/>
      <c r="I947" s="2"/>
      <c r="J947" s="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2"/>
      <c r="AJ947" s="2"/>
      <c r="AK947" s="2"/>
      <c r="AL947" s="2"/>
      <c r="AM947" s="2"/>
      <c r="AN947" s="2"/>
      <c r="AO947" s="2"/>
    </row>
    <row r="948" spans="1:41" ht="13.5">
      <c r="A948" s="2"/>
      <c r="B948" s="2"/>
      <c r="C948" s="2"/>
      <c r="D948" s="2"/>
      <c r="E948" s="2"/>
      <c r="F948" s="2"/>
      <c r="G948" s="2"/>
      <c r="H948" s="40"/>
      <c r="I948" s="2"/>
      <c r="J948" s="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2"/>
      <c r="AJ948" s="2"/>
      <c r="AK948" s="2"/>
      <c r="AL948" s="2"/>
      <c r="AM948" s="2"/>
      <c r="AN948" s="2"/>
      <c r="AO948" s="2"/>
    </row>
    <row r="949" spans="1:41" ht="13.5">
      <c r="A949" s="2"/>
      <c r="B949" s="2"/>
      <c r="C949" s="2"/>
      <c r="D949" s="2"/>
      <c r="E949" s="2"/>
      <c r="F949" s="2"/>
      <c r="G949" s="2"/>
      <c r="H949" s="40"/>
      <c r="I949" s="2"/>
      <c r="J949" s="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2"/>
      <c r="AJ949" s="2"/>
      <c r="AK949" s="2"/>
      <c r="AL949" s="2"/>
      <c r="AM949" s="2"/>
      <c r="AN949" s="2"/>
      <c r="AO949" s="2"/>
    </row>
    <row r="950" spans="1:41" ht="13.5">
      <c r="A950" s="2"/>
      <c r="B950" s="2"/>
      <c r="C950" s="2"/>
      <c r="D950" s="2"/>
      <c r="E950" s="2"/>
      <c r="F950" s="2"/>
      <c r="G950" s="2"/>
      <c r="H950" s="40"/>
      <c r="I950" s="2"/>
      <c r="J950" s="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2"/>
      <c r="AJ950" s="2"/>
      <c r="AK950" s="2"/>
      <c r="AL950" s="2"/>
      <c r="AM950" s="2"/>
      <c r="AN950" s="2"/>
      <c r="AO950" s="2"/>
    </row>
    <row r="951" spans="1:41" ht="13.5">
      <c r="A951" s="2"/>
      <c r="B951" s="2"/>
      <c r="C951" s="2"/>
      <c r="D951" s="2"/>
      <c r="E951" s="2"/>
      <c r="F951" s="2"/>
      <c r="G951" s="2"/>
      <c r="H951" s="40"/>
      <c r="I951" s="2"/>
      <c r="J951" s="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2"/>
      <c r="AJ951" s="2"/>
      <c r="AK951" s="2"/>
      <c r="AL951" s="2"/>
      <c r="AM951" s="2"/>
      <c r="AN951" s="2"/>
      <c r="AO951" s="2"/>
    </row>
    <row r="952" spans="1:41" ht="13.5">
      <c r="A952" s="2"/>
      <c r="B952" s="2"/>
      <c r="C952" s="2"/>
      <c r="D952" s="2"/>
      <c r="E952" s="2"/>
      <c r="F952" s="2"/>
      <c r="G952" s="2"/>
      <c r="H952" s="40"/>
      <c r="I952" s="2"/>
      <c r="J952" s="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2"/>
      <c r="AJ952" s="2"/>
      <c r="AK952" s="2"/>
      <c r="AL952" s="2"/>
      <c r="AM952" s="2"/>
      <c r="AN952" s="2"/>
      <c r="AO952" s="2"/>
    </row>
    <row r="953" spans="1:41" ht="13.5">
      <c r="A953" s="2"/>
      <c r="B953" s="2"/>
      <c r="C953" s="2"/>
      <c r="D953" s="2"/>
      <c r="E953" s="2"/>
      <c r="F953" s="2"/>
      <c r="G953" s="2"/>
      <c r="H953" s="40"/>
      <c r="I953" s="2"/>
      <c r="J953" s="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2"/>
      <c r="AJ953" s="2"/>
      <c r="AK953" s="2"/>
      <c r="AL953" s="2"/>
      <c r="AM953" s="2"/>
      <c r="AN953" s="2"/>
      <c r="AO953" s="2"/>
    </row>
    <row r="954" spans="1:41" ht="13.5">
      <c r="A954" s="2"/>
      <c r="B954" s="2"/>
      <c r="C954" s="2"/>
      <c r="D954" s="2"/>
      <c r="E954" s="2"/>
      <c r="F954" s="2"/>
      <c r="G954" s="2"/>
      <c r="H954" s="40"/>
      <c r="I954" s="2"/>
      <c r="J954" s="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2"/>
      <c r="AJ954" s="2"/>
      <c r="AK954" s="2"/>
      <c r="AL954" s="2"/>
      <c r="AM954" s="2"/>
      <c r="AN954" s="2"/>
      <c r="AO954" s="2"/>
    </row>
    <row r="955" spans="1:41" ht="13.5">
      <c r="A955" s="2"/>
      <c r="B955" s="2"/>
      <c r="C955" s="2"/>
      <c r="D955" s="2"/>
      <c r="E955" s="2"/>
      <c r="F955" s="2"/>
      <c r="G955" s="2"/>
      <c r="H955" s="40"/>
      <c r="I955" s="2"/>
      <c r="J955" s="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2"/>
      <c r="AJ955" s="2"/>
      <c r="AK955" s="2"/>
      <c r="AL955" s="2"/>
      <c r="AM955" s="2"/>
      <c r="AN955" s="2"/>
      <c r="AO955" s="2"/>
    </row>
    <row r="956" spans="1:41" ht="13.5">
      <c r="A956" s="2"/>
      <c r="B956" s="2"/>
      <c r="C956" s="2"/>
      <c r="D956" s="2"/>
      <c r="E956" s="2"/>
      <c r="F956" s="2"/>
      <c r="G956" s="2"/>
      <c r="H956" s="40"/>
      <c r="I956" s="2"/>
      <c r="J956" s="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2"/>
      <c r="AJ956" s="2"/>
      <c r="AK956" s="2"/>
      <c r="AL956" s="2"/>
      <c r="AM956" s="2"/>
      <c r="AN956" s="2"/>
      <c r="AO956" s="2"/>
    </row>
    <row r="957" spans="1:41" ht="13.5">
      <c r="A957" s="2"/>
      <c r="B957" s="2"/>
      <c r="C957" s="2"/>
      <c r="D957" s="2"/>
      <c r="E957" s="2"/>
      <c r="F957" s="2"/>
      <c r="G957" s="2"/>
      <c r="H957" s="40"/>
      <c r="I957" s="2"/>
      <c r="J957" s="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2"/>
      <c r="AJ957" s="2"/>
      <c r="AK957" s="2"/>
      <c r="AL957" s="2"/>
      <c r="AM957" s="2"/>
      <c r="AN957" s="2"/>
      <c r="AO957" s="2"/>
    </row>
    <row r="958" spans="1:41" ht="13.5">
      <c r="A958" s="2"/>
      <c r="B958" s="2"/>
      <c r="C958" s="2"/>
      <c r="D958" s="2"/>
      <c r="E958" s="2"/>
      <c r="F958" s="2"/>
      <c r="G958" s="2"/>
      <c r="H958" s="40"/>
      <c r="I958" s="2"/>
      <c r="J958" s="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2"/>
      <c r="AJ958" s="2"/>
      <c r="AK958" s="2"/>
      <c r="AL958" s="2"/>
      <c r="AM958" s="2"/>
      <c r="AN958" s="2"/>
      <c r="AO958" s="2"/>
    </row>
    <row r="959" spans="1:41" ht="13.5">
      <c r="A959" s="2"/>
      <c r="B959" s="2"/>
      <c r="C959" s="2"/>
      <c r="D959" s="2"/>
      <c r="E959" s="2"/>
      <c r="F959" s="2"/>
      <c r="G959" s="2"/>
      <c r="H959" s="40"/>
      <c r="I959" s="2"/>
      <c r="J959" s="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2"/>
      <c r="AJ959" s="2"/>
      <c r="AK959" s="2"/>
      <c r="AL959" s="2"/>
      <c r="AM959" s="2"/>
      <c r="AN959" s="2"/>
      <c r="AO959" s="2"/>
    </row>
    <row r="960" spans="1:41" ht="13.5">
      <c r="A960" s="2"/>
      <c r="B960" s="2"/>
      <c r="C960" s="2"/>
      <c r="D960" s="2"/>
      <c r="E960" s="2"/>
      <c r="F960" s="2"/>
      <c r="G960" s="2"/>
      <c r="H960" s="40"/>
      <c r="I960" s="2"/>
      <c r="J960" s="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2"/>
      <c r="AJ960" s="2"/>
      <c r="AK960" s="2"/>
      <c r="AL960" s="2"/>
      <c r="AM960" s="2"/>
      <c r="AN960" s="2"/>
      <c r="AO960" s="2"/>
    </row>
    <row r="961" spans="1:41" ht="13.5">
      <c r="A961" s="2"/>
      <c r="B961" s="2"/>
      <c r="C961" s="2"/>
      <c r="D961" s="2"/>
      <c r="E961" s="2"/>
      <c r="F961" s="2"/>
      <c r="G961" s="2"/>
      <c r="H961" s="40"/>
      <c r="I961" s="2"/>
      <c r="J961" s="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2"/>
      <c r="AJ961" s="2"/>
      <c r="AK961" s="2"/>
      <c r="AL961" s="2"/>
      <c r="AM961" s="2"/>
      <c r="AN961" s="2"/>
      <c r="AO961" s="2"/>
    </row>
    <row r="962" spans="1:41" ht="13.5">
      <c r="A962" s="2"/>
      <c r="B962" s="2"/>
      <c r="C962" s="2"/>
      <c r="D962" s="2"/>
      <c r="E962" s="2"/>
      <c r="F962" s="2"/>
      <c r="G962" s="2"/>
      <c r="H962" s="40"/>
      <c r="I962" s="2"/>
      <c r="J962" s="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2"/>
      <c r="AJ962" s="2"/>
      <c r="AK962" s="2"/>
      <c r="AL962" s="2"/>
      <c r="AM962" s="2"/>
      <c r="AN962" s="2"/>
      <c r="AO962" s="2"/>
    </row>
    <row r="963" spans="1:41" ht="13.5">
      <c r="A963" s="2"/>
      <c r="B963" s="2"/>
      <c r="C963" s="2"/>
      <c r="D963" s="2"/>
      <c r="E963" s="2"/>
      <c r="F963" s="2"/>
      <c r="G963" s="2"/>
      <c r="H963" s="40"/>
      <c r="I963" s="2"/>
      <c r="J963" s="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2"/>
      <c r="AJ963" s="2"/>
      <c r="AK963" s="2"/>
      <c r="AL963" s="2"/>
      <c r="AM963" s="2"/>
      <c r="AN963" s="2"/>
      <c r="AO963" s="2"/>
    </row>
    <row r="964" spans="1:41" ht="13.5">
      <c r="A964" s="2"/>
      <c r="B964" s="2"/>
      <c r="C964" s="2"/>
      <c r="D964" s="2"/>
      <c r="E964" s="2"/>
      <c r="F964" s="2"/>
      <c r="G964" s="2"/>
      <c r="H964" s="40"/>
      <c r="I964" s="2"/>
      <c r="J964" s="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2"/>
      <c r="AJ964" s="2"/>
      <c r="AK964" s="2"/>
      <c r="AL964" s="2"/>
      <c r="AM964" s="2"/>
      <c r="AN964" s="2"/>
      <c r="AO964" s="2"/>
    </row>
    <row r="965" spans="1:41" ht="13.5">
      <c r="A965" s="2"/>
      <c r="B965" s="2"/>
      <c r="C965" s="2"/>
      <c r="D965" s="2"/>
      <c r="E965" s="2"/>
      <c r="F965" s="2"/>
      <c r="G965" s="2"/>
      <c r="H965" s="40"/>
      <c r="I965" s="2"/>
      <c r="J965" s="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2"/>
      <c r="AJ965" s="2"/>
      <c r="AK965" s="2"/>
      <c r="AL965" s="2"/>
      <c r="AM965" s="2"/>
      <c r="AN965" s="2"/>
      <c r="AO965" s="2"/>
    </row>
    <row r="966" spans="1:41" ht="13.5">
      <c r="A966" s="2"/>
      <c r="B966" s="2"/>
      <c r="C966" s="2"/>
      <c r="D966" s="2"/>
      <c r="E966" s="2"/>
      <c r="F966" s="2"/>
      <c r="G966" s="2"/>
      <c r="H966" s="40"/>
      <c r="I966" s="2"/>
      <c r="J966" s="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2"/>
      <c r="AJ966" s="2"/>
      <c r="AK966" s="2"/>
      <c r="AL966" s="2"/>
      <c r="AM966" s="2"/>
      <c r="AN966" s="2"/>
      <c r="AO966" s="2"/>
    </row>
    <row r="967" spans="1:41" ht="13.5">
      <c r="A967" s="2"/>
      <c r="B967" s="2"/>
      <c r="C967" s="2"/>
      <c r="D967" s="2"/>
      <c r="E967" s="2"/>
      <c r="F967" s="2"/>
      <c r="G967" s="2"/>
      <c r="H967" s="40"/>
      <c r="I967" s="2"/>
      <c r="J967" s="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2"/>
      <c r="AJ967" s="2"/>
      <c r="AK967" s="2"/>
      <c r="AL967" s="2"/>
      <c r="AM967" s="2"/>
      <c r="AN967" s="2"/>
      <c r="AO967" s="2"/>
    </row>
    <row r="968" spans="1:41" ht="13.5">
      <c r="A968" s="2"/>
      <c r="B968" s="2"/>
      <c r="C968" s="2"/>
      <c r="D968" s="2"/>
      <c r="E968" s="2"/>
      <c r="F968" s="2"/>
      <c r="G968" s="2"/>
      <c r="H968" s="40"/>
      <c r="I968" s="2"/>
      <c r="J968" s="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2"/>
      <c r="AJ968" s="2"/>
      <c r="AK968" s="2"/>
      <c r="AL968" s="2"/>
      <c r="AM968" s="2"/>
      <c r="AN968" s="2"/>
      <c r="AO968" s="2"/>
    </row>
    <row r="969" spans="1:41" ht="13.5">
      <c r="A969" s="2"/>
      <c r="B969" s="2"/>
      <c r="C969" s="2"/>
      <c r="D969" s="2"/>
      <c r="E969" s="2"/>
      <c r="F969" s="2"/>
      <c r="G969" s="2"/>
      <c r="H969" s="40"/>
      <c r="I969" s="2"/>
      <c r="J969" s="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2"/>
      <c r="AJ969" s="2"/>
      <c r="AK969" s="2"/>
      <c r="AL969" s="2"/>
      <c r="AM969" s="2"/>
      <c r="AN969" s="2"/>
      <c r="AO969" s="2"/>
    </row>
    <row r="970" spans="1:41" ht="13.5">
      <c r="A970" s="2"/>
      <c r="B970" s="2"/>
      <c r="C970" s="2"/>
      <c r="D970" s="2"/>
      <c r="E970" s="2"/>
      <c r="F970" s="2"/>
      <c r="G970" s="2"/>
      <c r="H970" s="40"/>
      <c r="I970" s="2"/>
      <c r="J970" s="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2"/>
      <c r="AJ970" s="2"/>
      <c r="AK970" s="2"/>
      <c r="AL970" s="2"/>
      <c r="AM970" s="2"/>
      <c r="AN970" s="2"/>
      <c r="AO970" s="2"/>
    </row>
    <row r="971" spans="1:41" ht="13.5">
      <c r="A971" s="2"/>
      <c r="B971" s="2"/>
      <c r="C971" s="2"/>
      <c r="D971" s="2"/>
      <c r="E971" s="2"/>
      <c r="F971" s="2"/>
      <c r="G971" s="2"/>
      <c r="H971" s="40"/>
      <c r="I971" s="2"/>
      <c r="J971" s="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2"/>
      <c r="AJ971" s="2"/>
      <c r="AK971" s="2"/>
      <c r="AL971" s="2"/>
      <c r="AM971" s="2"/>
      <c r="AN971" s="2"/>
      <c r="AO971" s="2"/>
    </row>
    <row r="972" spans="1:41" ht="13.5">
      <c r="A972" s="2"/>
      <c r="B972" s="2"/>
      <c r="C972" s="2"/>
      <c r="D972" s="2"/>
      <c r="E972" s="2"/>
      <c r="F972" s="2"/>
      <c r="G972" s="2"/>
      <c r="H972" s="40"/>
      <c r="I972" s="2"/>
      <c r="J972" s="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2"/>
      <c r="AJ972" s="2"/>
      <c r="AK972" s="2"/>
      <c r="AL972" s="2"/>
      <c r="AM972" s="2"/>
      <c r="AN972" s="2"/>
      <c r="AO972" s="2"/>
    </row>
    <row r="973" spans="1:41" ht="13.5">
      <c r="A973" s="2"/>
      <c r="B973" s="2"/>
      <c r="C973" s="2"/>
      <c r="D973" s="2"/>
      <c r="E973" s="2"/>
      <c r="F973" s="2"/>
      <c r="G973" s="2"/>
      <c r="H973" s="40"/>
      <c r="I973" s="2"/>
      <c r="J973" s="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2"/>
      <c r="AJ973" s="2"/>
      <c r="AK973" s="2"/>
      <c r="AL973" s="2"/>
      <c r="AM973" s="2"/>
      <c r="AN973" s="2"/>
      <c r="AO973" s="2"/>
    </row>
    <row r="974" spans="1:41" ht="13.5">
      <c r="A974" s="2"/>
      <c r="B974" s="2"/>
      <c r="C974" s="2"/>
      <c r="D974" s="2"/>
      <c r="E974" s="2"/>
      <c r="F974" s="2"/>
      <c r="G974" s="2"/>
      <c r="H974" s="40"/>
      <c r="I974" s="2"/>
      <c r="J974" s="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2"/>
      <c r="AJ974" s="2"/>
      <c r="AK974" s="2"/>
      <c r="AL974" s="2"/>
      <c r="AM974" s="2"/>
      <c r="AN974" s="2"/>
      <c r="AO974" s="2"/>
    </row>
    <row r="975" spans="1:41" ht="13.5">
      <c r="A975" s="2"/>
      <c r="B975" s="2"/>
      <c r="C975" s="2"/>
      <c r="D975" s="2"/>
      <c r="E975" s="2"/>
      <c r="F975" s="2"/>
      <c r="G975" s="2"/>
      <c r="H975" s="40"/>
      <c r="I975" s="2"/>
      <c r="J975" s="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2"/>
      <c r="AJ975" s="2"/>
      <c r="AK975" s="2"/>
      <c r="AL975" s="2"/>
      <c r="AM975" s="2"/>
      <c r="AN975" s="2"/>
      <c r="AO975" s="2"/>
    </row>
    <row r="976" spans="1:41" ht="13.5">
      <c r="A976" s="2"/>
      <c r="B976" s="2"/>
      <c r="C976" s="2"/>
      <c r="D976" s="2"/>
      <c r="E976" s="2"/>
      <c r="F976" s="2"/>
      <c r="G976" s="2"/>
      <c r="H976" s="40"/>
      <c r="I976" s="2"/>
      <c r="J976" s="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2"/>
      <c r="AJ976" s="2"/>
      <c r="AK976" s="2"/>
      <c r="AL976" s="2"/>
      <c r="AM976" s="2"/>
      <c r="AN976" s="2"/>
      <c r="AO976" s="2"/>
    </row>
    <row r="977" spans="1:41" ht="13.5">
      <c r="A977" s="2"/>
      <c r="B977" s="2"/>
      <c r="C977" s="2"/>
      <c r="D977" s="2"/>
      <c r="E977" s="2"/>
      <c r="F977" s="2"/>
      <c r="G977" s="2"/>
      <c r="H977" s="40"/>
      <c r="I977" s="2"/>
      <c r="J977" s="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2"/>
      <c r="AJ977" s="2"/>
      <c r="AK977" s="2"/>
      <c r="AL977" s="2"/>
      <c r="AM977" s="2"/>
      <c r="AN977" s="2"/>
      <c r="AO977" s="2"/>
    </row>
    <row r="978" spans="1:41" ht="13.5">
      <c r="A978" s="2"/>
      <c r="B978" s="2"/>
      <c r="C978" s="2"/>
      <c r="D978" s="2"/>
      <c r="E978" s="2"/>
      <c r="F978" s="2"/>
      <c r="G978" s="2"/>
      <c r="H978" s="40"/>
      <c r="I978" s="2"/>
      <c r="J978" s="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2"/>
      <c r="AJ978" s="2"/>
      <c r="AK978" s="2"/>
      <c r="AL978" s="2"/>
      <c r="AM978" s="2"/>
      <c r="AN978" s="2"/>
      <c r="AO978" s="2"/>
    </row>
    <row r="979" spans="1:41" ht="13.5">
      <c r="A979" s="2"/>
      <c r="B979" s="2"/>
      <c r="C979" s="2"/>
      <c r="D979" s="2"/>
      <c r="E979" s="2"/>
      <c r="F979" s="2"/>
      <c r="G979" s="2"/>
      <c r="H979" s="40"/>
      <c r="I979" s="2"/>
      <c r="J979" s="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2"/>
      <c r="AJ979" s="2"/>
      <c r="AK979" s="2"/>
      <c r="AL979" s="2"/>
      <c r="AM979" s="2"/>
      <c r="AN979" s="2"/>
      <c r="AO979" s="2"/>
    </row>
    <row r="980" spans="1:41" ht="13.5">
      <c r="A980" s="2"/>
      <c r="B980" s="2"/>
      <c r="C980" s="2"/>
      <c r="D980" s="2"/>
      <c r="E980" s="2"/>
      <c r="F980" s="2"/>
      <c r="G980" s="2"/>
      <c r="H980" s="40"/>
      <c r="I980" s="2"/>
      <c r="J980" s="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2"/>
      <c r="AJ980" s="2"/>
      <c r="AK980" s="2"/>
      <c r="AL980" s="2"/>
      <c r="AM980" s="2"/>
      <c r="AN980" s="2"/>
      <c r="AO980" s="2"/>
    </row>
    <row r="981" spans="1:41" ht="13.5">
      <c r="A981" s="2"/>
      <c r="B981" s="2"/>
      <c r="C981" s="2"/>
      <c r="D981" s="2"/>
      <c r="E981" s="2"/>
      <c r="F981" s="2"/>
      <c r="G981" s="2"/>
      <c r="H981" s="40"/>
      <c r="I981" s="2"/>
      <c r="J981" s="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2"/>
      <c r="AJ981" s="2"/>
      <c r="AK981" s="2"/>
      <c r="AL981" s="2"/>
      <c r="AM981" s="2"/>
      <c r="AN981" s="2"/>
      <c r="AO981" s="2"/>
    </row>
    <row r="982" spans="1:41" ht="13.5">
      <c r="A982" s="2"/>
      <c r="B982" s="2"/>
      <c r="C982" s="2"/>
      <c r="D982" s="2"/>
      <c r="E982" s="2"/>
      <c r="F982" s="2"/>
      <c r="G982" s="2"/>
      <c r="H982" s="40"/>
      <c r="I982" s="2"/>
      <c r="J982" s="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2"/>
      <c r="AJ982" s="2"/>
      <c r="AK982" s="2"/>
      <c r="AL982" s="2"/>
      <c r="AM982" s="2"/>
      <c r="AN982" s="2"/>
      <c r="AO982" s="2"/>
    </row>
    <row r="983" spans="1:41" ht="13.5">
      <c r="A983" s="2"/>
      <c r="B983" s="2"/>
      <c r="C983" s="2"/>
      <c r="D983" s="2"/>
      <c r="E983" s="2"/>
      <c r="F983" s="2"/>
      <c r="G983" s="2"/>
      <c r="H983" s="40"/>
      <c r="I983" s="2"/>
      <c r="J983" s="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2"/>
      <c r="AJ983" s="2"/>
      <c r="AK983" s="2"/>
      <c r="AL983" s="2"/>
      <c r="AM983" s="2"/>
      <c r="AN983" s="2"/>
      <c r="AO983" s="2"/>
    </row>
    <row r="984" spans="1:41" ht="13.5">
      <c r="A984" s="2"/>
      <c r="B984" s="2"/>
      <c r="C984" s="2"/>
      <c r="D984" s="2"/>
      <c r="E984" s="2"/>
      <c r="F984" s="2"/>
      <c r="G984" s="2"/>
      <c r="H984" s="40"/>
      <c r="I984" s="2"/>
      <c r="J984" s="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2"/>
      <c r="AJ984" s="2"/>
      <c r="AK984" s="2"/>
      <c r="AL984" s="2"/>
      <c r="AM984" s="2"/>
      <c r="AN984" s="2"/>
      <c r="AO984" s="2"/>
    </row>
    <row r="985" spans="1:41" ht="13.5">
      <c r="A985" s="2"/>
      <c r="B985" s="2"/>
      <c r="C985" s="2"/>
      <c r="D985" s="2"/>
      <c r="E985" s="2"/>
      <c r="F985" s="2"/>
      <c r="G985" s="2"/>
      <c r="H985" s="40"/>
      <c r="I985" s="2"/>
      <c r="J985" s="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2"/>
      <c r="AJ985" s="2"/>
      <c r="AK985" s="2"/>
      <c r="AL985" s="2"/>
      <c r="AM985" s="2"/>
      <c r="AN985" s="2"/>
      <c r="AO985" s="2"/>
    </row>
    <row r="986" spans="1:41" ht="13.5">
      <c r="A986" s="2"/>
      <c r="B986" s="2"/>
      <c r="C986" s="2"/>
      <c r="D986" s="2"/>
      <c r="E986" s="2"/>
      <c r="F986" s="2"/>
      <c r="G986" s="2"/>
      <c r="H986" s="40"/>
      <c r="I986" s="2"/>
      <c r="J986" s="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2"/>
      <c r="AJ986" s="2"/>
      <c r="AK986" s="2"/>
      <c r="AL986" s="2"/>
      <c r="AM986" s="2"/>
      <c r="AN986" s="2"/>
      <c r="AO986" s="2"/>
    </row>
    <row r="987" spans="1:41" ht="13.5">
      <c r="A987" s="2"/>
      <c r="B987" s="2"/>
      <c r="C987" s="2"/>
      <c r="D987" s="2"/>
      <c r="E987" s="2"/>
      <c r="F987" s="2"/>
      <c r="G987" s="2"/>
      <c r="H987" s="40"/>
      <c r="I987" s="2"/>
      <c r="J987" s="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2"/>
      <c r="AJ987" s="2"/>
      <c r="AK987" s="2"/>
      <c r="AL987" s="2"/>
      <c r="AM987" s="2"/>
      <c r="AN987" s="2"/>
      <c r="AO987" s="2"/>
    </row>
    <row r="988" spans="1:41" ht="13.5">
      <c r="A988" s="2"/>
      <c r="B988" s="2"/>
      <c r="C988" s="2"/>
      <c r="D988" s="2"/>
      <c r="E988" s="2"/>
      <c r="F988" s="2"/>
      <c r="G988" s="2"/>
      <c r="H988" s="40"/>
      <c r="I988" s="2"/>
      <c r="J988" s="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2"/>
      <c r="AJ988" s="2"/>
      <c r="AK988" s="2"/>
      <c r="AL988" s="2"/>
      <c r="AM988" s="2"/>
      <c r="AN988" s="2"/>
      <c r="AO988" s="2"/>
    </row>
    <row r="989" spans="1:41" ht="13.5">
      <c r="A989" s="2"/>
      <c r="B989" s="2"/>
      <c r="C989" s="2"/>
      <c r="D989" s="2"/>
      <c r="E989" s="2"/>
      <c r="F989" s="2"/>
      <c r="G989" s="2"/>
      <c r="H989" s="40"/>
      <c r="I989" s="2"/>
      <c r="J989" s="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2"/>
      <c r="AJ989" s="2"/>
      <c r="AK989" s="2"/>
      <c r="AL989" s="2"/>
      <c r="AM989" s="2"/>
      <c r="AN989" s="2"/>
      <c r="AO989" s="2"/>
    </row>
    <row r="990" spans="1:41" ht="13.5">
      <c r="A990" s="2"/>
      <c r="B990" s="2"/>
      <c r="C990" s="2"/>
      <c r="D990" s="2"/>
      <c r="E990" s="2"/>
      <c r="F990" s="2"/>
      <c r="G990" s="2"/>
      <c r="H990" s="40"/>
      <c r="I990" s="2"/>
      <c r="J990" s="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2"/>
      <c r="AJ990" s="2"/>
      <c r="AK990" s="2"/>
      <c r="AL990" s="2"/>
      <c r="AM990" s="2"/>
      <c r="AN990" s="2"/>
      <c r="AO990" s="2"/>
    </row>
    <row r="991" spans="1:41" ht="13.5">
      <c r="A991" s="2"/>
      <c r="B991" s="2"/>
      <c r="C991" s="2"/>
      <c r="D991" s="2"/>
      <c r="E991" s="2"/>
      <c r="F991" s="2"/>
      <c r="G991" s="2"/>
      <c r="H991" s="40"/>
      <c r="I991" s="2"/>
      <c r="J991" s="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2"/>
      <c r="AJ991" s="2"/>
      <c r="AK991" s="2"/>
      <c r="AL991" s="2"/>
      <c r="AM991" s="2"/>
      <c r="AN991" s="2"/>
      <c r="AO991" s="2"/>
    </row>
    <row r="992" spans="1:41" ht="13.5">
      <c r="A992" s="2"/>
      <c r="B992" s="2"/>
      <c r="C992" s="2"/>
      <c r="D992" s="2"/>
      <c r="E992" s="2"/>
      <c r="F992" s="2"/>
      <c r="G992" s="2"/>
      <c r="H992" s="40"/>
      <c r="I992" s="2"/>
      <c r="J992" s="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2"/>
      <c r="AJ992" s="2"/>
      <c r="AK992" s="2"/>
      <c r="AL992" s="2"/>
      <c r="AM992" s="2"/>
      <c r="AN992" s="2"/>
      <c r="AO992" s="2"/>
    </row>
    <row r="993" spans="1:41" ht="13.5">
      <c r="A993" s="2"/>
      <c r="B993" s="2"/>
      <c r="C993" s="2"/>
      <c r="D993" s="2"/>
      <c r="E993" s="2"/>
      <c r="F993" s="2"/>
      <c r="G993" s="2"/>
      <c r="H993" s="40"/>
      <c r="I993" s="2"/>
      <c r="J993" s="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2"/>
      <c r="AJ993" s="2"/>
      <c r="AK993" s="2"/>
      <c r="AL993" s="2"/>
      <c r="AM993" s="2"/>
      <c r="AN993" s="2"/>
      <c r="AO993" s="2"/>
    </row>
    <row r="994" spans="1:41" ht="13.5">
      <c r="A994" s="2"/>
      <c r="B994" s="2"/>
      <c r="C994" s="2"/>
      <c r="D994" s="2"/>
      <c r="E994" s="2"/>
      <c r="F994" s="2"/>
      <c r="G994" s="2"/>
      <c r="H994" s="40"/>
      <c r="I994" s="2"/>
      <c r="J994" s="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2"/>
      <c r="AJ994" s="2"/>
      <c r="AK994" s="2"/>
      <c r="AL994" s="2"/>
      <c r="AM994" s="2"/>
      <c r="AN994" s="2"/>
      <c r="AO994" s="2"/>
    </row>
    <row r="995" spans="1:41" ht="13.5">
      <c r="A995" s="2"/>
      <c r="B995" s="2"/>
      <c r="C995" s="2"/>
      <c r="D995" s="2"/>
      <c r="E995" s="2"/>
      <c r="F995" s="2"/>
      <c r="G995" s="2"/>
      <c r="H995" s="40"/>
      <c r="I995" s="2"/>
      <c r="J995" s="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2"/>
      <c r="AJ995" s="2"/>
      <c r="AK995" s="2"/>
      <c r="AL995" s="2"/>
      <c r="AM995" s="2"/>
      <c r="AN995" s="2"/>
      <c r="AO995" s="2"/>
    </row>
    <row r="996" spans="1:41" ht="13.5">
      <c r="A996" s="2"/>
      <c r="B996" s="2"/>
      <c r="C996" s="2"/>
      <c r="D996" s="2"/>
      <c r="E996" s="2"/>
      <c r="F996" s="2"/>
      <c r="G996" s="2"/>
      <c r="H996" s="40"/>
      <c r="I996" s="2"/>
      <c r="J996" s="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2"/>
      <c r="AJ996" s="2"/>
      <c r="AK996" s="2"/>
      <c r="AL996" s="2"/>
      <c r="AM996" s="2"/>
      <c r="AN996" s="2"/>
      <c r="AO996" s="2"/>
    </row>
    <row r="997" spans="1:41" ht="13.5">
      <c r="A997" s="2"/>
      <c r="B997" s="2"/>
      <c r="C997" s="2"/>
      <c r="D997" s="2"/>
      <c r="E997" s="2"/>
      <c r="F997" s="2"/>
      <c r="G997" s="2"/>
      <c r="H997" s="40"/>
      <c r="I997" s="2"/>
      <c r="J997" s="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2"/>
      <c r="AJ997" s="2"/>
      <c r="AK997" s="2"/>
      <c r="AL997" s="2"/>
      <c r="AM997" s="2"/>
      <c r="AN997" s="2"/>
      <c r="AO997" s="2"/>
    </row>
    <row r="998" spans="1:41" ht="13.5">
      <c r="A998" s="2"/>
      <c r="B998" s="2"/>
      <c r="C998" s="2"/>
      <c r="D998" s="2"/>
      <c r="E998" s="2"/>
      <c r="F998" s="2"/>
      <c r="G998" s="2"/>
      <c r="H998" s="40"/>
      <c r="I998" s="2"/>
      <c r="J998" s="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2"/>
      <c r="AJ998" s="2"/>
      <c r="AK998" s="2"/>
      <c r="AL998" s="2"/>
      <c r="AM998" s="2"/>
      <c r="AN998" s="2"/>
      <c r="AO998" s="2"/>
    </row>
    <row r="999" spans="1:41" ht="13.5">
      <c r="A999" s="2"/>
      <c r="B999" s="2"/>
      <c r="C999" s="2"/>
      <c r="D999" s="2"/>
      <c r="E999" s="2"/>
      <c r="F999" s="2"/>
      <c r="G999" s="2"/>
      <c r="H999" s="40"/>
      <c r="I999" s="2"/>
      <c r="J999" s="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2"/>
      <c r="AJ999" s="2"/>
      <c r="AK999" s="2"/>
      <c r="AL999" s="2"/>
      <c r="AM999" s="2"/>
      <c r="AN999" s="2"/>
      <c r="AO999" s="2"/>
    </row>
    <row r="1000" spans="1:41" ht="13.5">
      <c r="A1000" s="2"/>
      <c r="B1000" s="2"/>
      <c r="C1000" s="2"/>
      <c r="D1000" s="2"/>
      <c r="E1000" s="2"/>
      <c r="F1000" s="2"/>
      <c r="G1000" s="2"/>
      <c r="H1000" s="40"/>
      <c r="I1000" s="2"/>
      <c r="J1000" s="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2"/>
      <c r="AJ1000" s="2"/>
      <c r="AK1000" s="2"/>
      <c r="AL1000" s="2"/>
      <c r="AM1000" s="2"/>
      <c r="AN1000" s="2"/>
      <c r="AO1000" s="2"/>
    </row>
    <row r="1001" spans="1:41" ht="13.5">
      <c r="A1001" s="2"/>
      <c r="B1001" s="2"/>
      <c r="C1001" s="2"/>
      <c r="D1001" s="2"/>
      <c r="E1001" s="2"/>
      <c r="F1001" s="2"/>
      <c r="G1001" s="2"/>
      <c r="H1001" s="40"/>
      <c r="I1001" s="2"/>
      <c r="J1001" s="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2"/>
      <c r="AJ1001" s="2"/>
      <c r="AK1001" s="2"/>
      <c r="AL1001" s="2"/>
      <c r="AM1001" s="2"/>
      <c r="AN1001" s="2"/>
      <c r="AO1001" s="2"/>
    </row>
    <row r="1002" spans="1:41" ht="13.5">
      <c r="A1002" s="2"/>
      <c r="B1002" s="2"/>
      <c r="C1002" s="2"/>
      <c r="D1002" s="2"/>
      <c r="E1002" s="2"/>
      <c r="F1002" s="2"/>
      <c r="G1002" s="2"/>
      <c r="H1002" s="40"/>
      <c r="I1002" s="2"/>
      <c r="J1002" s="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2"/>
      <c r="AJ1002" s="2"/>
      <c r="AK1002" s="2"/>
      <c r="AL1002" s="2"/>
      <c r="AM1002" s="2"/>
      <c r="AN1002" s="2"/>
      <c r="AO1002" s="2"/>
    </row>
    <row r="1003" spans="1:41" ht="13.5">
      <c r="A1003" s="2"/>
      <c r="B1003" s="2"/>
      <c r="C1003" s="2"/>
      <c r="D1003" s="2"/>
      <c r="E1003" s="2"/>
      <c r="F1003" s="2"/>
      <c r="G1003" s="2"/>
      <c r="H1003" s="40"/>
      <c r="I1003" s="2"/>
      <c r="J1003" s="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2"/>
      <c r="AJ1003" s="2"/>
      <c r="AK1003" s="2"/>
      <c r="AL1003" s="2"/>
      <c r="AM1003" s="2"/>
      <c r="AN1003" s="2"/>
      <c r="AO1003" s="2"/>
    </row>
    <row r="1004" spans="1:41" ht="13.5">
      <c r="A1004" s="2"/>
      <c r="B1004" s="2"/>
      <c r="C1004" s="2"/>
      <c r="D1004" s="2"/>
      <c r="E1004" s="2"/>
      <c r="F1004" s="2"/>
      <c r="G1004" s="2"/>
      <c r="H1004" s="40"/>
      <c r="I1004" s="2"/>
      <c r="J1004" s="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2"/>
      <c r="AJ1004" s="2"/>
      <c r="AK1004" s="2"/>
      <c r="AL1004" s="2"/>
      <c r="AM1004" s="2"/>
      <c r="AN1004" s="2"/>
      <c r="AO1004" s="2"/>
    </row>
    <row r="1005" spans="1:41" ht="13.5">
      <c r="A1005" s="2"/>
      <c r="B1005" s="2"/>
      <c r="C1005" s="2"/>
      <c r="D1005" s="2"/>
      <c r="E1005" s="2"/>
      <c r="F1005" s="2"/>
      <c r="G1005" s="2"/>
      <c r="H1005" s="40"/>
      <c r="I1005" s="2"/>
      <c r="J1005" s="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2"/>
      <c r="AJ1005" s="2"/>
      <c r="AK1005" s="2"/>
      <c r="AL1005" s="2"/>
      <c r="AM1005" s="2"/>
      <c r="AN1005" s="2"/>
      <c r="AO1005" s="2"/>
    </row>
    <row r="1006" spans="1:41" ht="13.5">
      <c r="A1006" s="2"/>
      <c r="B1006" s="2"/>
      <c r="C1006" s="2"/>
      <c r="D1006" s="2"/>
      <c r="E1006" s="2"/>
      <c r="F1006" s="2"/>
      <c r="G1006" s="2"/>
      <c r="H1006" s="40"/>
      <c r="I1006" s="2"/>
      <c r="J1006" s="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2"/>
      <c r="AJ1006" s="2"/>
      <c r="AK1006" s="2"/>
      <c r="AL1006" s="2"/>
      <c r="AM1006" s="2"/>
      <c r="AN1006" s="2"/>
      <c r="AO1006" s="2"/>
    </row>
    <row r="1007" spans="1:41" ht="13.5">
      <c r="A1007" s="2"/>
      <c r="B1007" s="2"/>
      <c r="C1007" s="2"/>
      <c r="D1007" s="2"/>
      <c r="E1007" s="2"/>
      <c r="F1007" s="2"/>
      <c r="G1007" s="2"/>
      <c r="H1007" s="40"/>
      <c r="I1007" s="2"/>
      <c r="J1007" s="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2"/>
      <c r="AJ1007" s="2"/>
      <c r="AK1007" s="2"/>
      <c r="AL1007" s="2"/>
      <c r="AM1007" s="2"/>
      <c r="AN1007" s="2"/>
      <c r="AO1007" s="2"/>
    </row>
    <row r="1008" spans="1:41" ht="13.5">
      <c r="A1008" s="2"/>
      <c r="B1008" s="2"/>
      <c r="C1008" s="2"/>
      <c r="D1008" s="2"/>
      <c r="E1008" s="2"/>
      <c r="F1008" s="2"/>
      <c r="G1008" s="2"/>
      <c r="H1008" s="40"/>
      <c r="I1008" s="2"/>
      <c r="J1008" s="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2"/>
      <c r="AJ1008" s="2"/>
      <c r="AK1008" s="2"/>
      <c r="AL1008" s="2"/>
      <c r="AM1008" s="2"/>
      <c r="AN1008" s="2"/>
      <c r="AO1008" s="2"/>
    </row>
    <row r="1009" spans="1:41" ht="13.5">
      <c r="A1009" s="2"/>
      <c r="B1009" s="2"/>
      <c r="C1009" s="2"/>
      <c r="D1009" s="2"/>
      <c r="E1009" s="2"/>
      <c r="F1009" s="2"/>
      <c r="G1009" s="2"/>
      <c r="H1009" s="40"/>
      <c r="I1009" s="2"/>
      <c r="J1009" s="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2"/>
      <c r="AJ1009" s="2"/>
      <c r="AK1009" s="2"/>
      <c r="AL1009" s="2"/>
      <c r="AM1009" s="2"/>
      <c r="AN1009" s="2"/>
      <c r="AO1009" s="2"/>
    </row>
    <row r="1010" spans="1:41" ht="13.5">
      <c r="A1010" s="2"/>
      <c r="B1010" s="2"/>
      <c r="C1010" s="2"/>
      <c r="D1010" s="2"/>
      <c r="E1010" s="2"/>
      <c r="F1010" s="2"/>
      <c r="G1010" s="2"/>
      <c r="H1010" s="40"/>
      <c r="I1010" s="2"/>
      <c r="J1010" s="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2"/>
      <c r="AJ1010" s="2"/>
      <c r="AK1010" s="2"/>
      <c r="AL1010" s="2"/>
      <c r="AM1010" s="2"/>
      <c r="AN1010" s="2"/>
      <c r="AO1010" s="2"/>
    </row>
  </sheetData>
  <autoFilter ref="A2:AI272" xr:uid="{00000000-0009-0000-0000-000000000000}">
    <sortState xmlns:xlrd2="http://schemas.microsoft.com/office/spreadsheetml/2017/richdata2" ref="A3:AI272">
      <sortCondition ref="H2:H272"/>
    </sortState>
  </autoFilter>
  <mergeCells count="1">
    <mergeCell ref="A1:E1"/>
  </mergeCells>
  <phoneticPr fontId="12" type="noConversion"/>
  <conditionalFormatting sqref="AI3:AI272">
    <cfRule type="expression" dxfId="2" priority="1">
      <formula>AI3/K3&gt;=0.5</formula>
    </cfRule>
    <cfRule type="expression" dxfId="1" priority="2">
      <formula>AI3/K3&gt;=0.2</formula>
    </cfRule>
    <cfRule type="expression" dxfId="0" priority="3">
      <formula>AI3/K3&lt;0.2</formula>
    </cfRule>
  </conditionalFormatting>
  <printOptions horizontalCentered="1"/>
  <pageMargins left="0" right="0" top="0" bottom="0" header="0" footer="0"/>
  <pageSetup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상품별재고수량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허</cp:lastModifiedBy>
  <dcterms:modified xsi:type="dcterms:W3CDTF">2025-10-31T14:46:28Z</dcterms:modified>
</cp:coreProperties>
</file>